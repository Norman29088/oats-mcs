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nsheng\Desktop\PhD_1st_2024\ML2025-2\1.OATS_MCS_phase4\IEEE_DataPort\"/>
    </mc:Choice>
  </mc:AlternateContent>
  <xr:revisionPtr revIDLastSave="0" documentId="13_ncr:1_{FF1AEC76-886D-4607-ADF2-096ABECC0208}" xr6:coauthVersionLast="47" xr6:coauthVersionMax="47" xr10:uidLastSave="{00000000-0000-0000-0000-000000000000}"/>
  <bookViews>
    <workbookView xWindow="4350" yWindow="2430" windowWidth="16200" windowHeight="11273" activeTab="2" xr2:uid="{00000000-000D-0000-FFFF-FFFF00000000}"/>
  </bookViews>
  <sheets>
    <sheet name="bus" sheetId="1" r:id="rId1"/>
    <sheet name="demand" sheetId="2" r:id="rId2"/>
    <sheet name="branch" sheetId="3" r:id="rId3"/>
    <sheet name="transformer" sheetId="4" r:id="rId4"/>
    <sheet name="renewable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9" l="1"/>
  <c r="N3" i="5"/>
  <c r="N4" i="5"/>
  <c r="N5" i="5"/>
  <c r="N6" i="5"/>
  <c r="N7" i="5"/>
  <c r="N2" i="5"/>
  <c r="P3" i="5"/>
  <c r="P4" i="5"/>
  <c r="P5" i="5"/>
  <c r="P6" i="5"/>
  <c r="P7" i="5"/>
  <c r="P2" i="5"/>
  <c r="R3" i="5"/>
  <c r="S2" i="5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AD3" i="9"/>
  <c r="AD4" i="9"/>
  <c r="AD5" i="9"/>
  <c r="AD6" i="9"/>
  <c r="AD7" i="9"/>
  <c r="AD8" i="9"/>
  <c r="AD9" i="9"/>
  <c r="AD10" i="9"/>
  <c r="AD11" i="9"/>
  <c r="AD12" i="9"/>
  <c r="AD13" i="9"/>
  <c r="AD14" i="9"/>
  <c r="AD15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F8" i="9"/>
  <c r="AC3" i="9" s="1"/>
  <c r="W2" i="9"/>
  <c r="AG4" i="9"/>
  <c r="AF4" i="9"/>
  <c r="AG2" i="9"/>
  <c r="AG5" i="9"/>
  <c r="AG7" i="9"/>
  <c r="AG6" i="9"/>
  <c r="AF7" i="9"/>
  <c r="AF6" i="9"/>
  <c r="AF5" i="9"/>
  <c r="AG3" i="9"/>
  <c r="V2" i="9"/>
  <c r="AC27" i="9" l="1"/>
  <c r="AC25" i="9"/>
  <c r="AC23" i="9"/>
  <c r="AC20" i="9"/>
  <c r="AC12" i="9"/>
  <c r="AC11" i="9"/>
  <c r="AC10" i="9"/>
  <c r="AC21" i="9"/>
  <c r="AC9" i="9"/>
  <c r="AC17" i="9"/>
  <c r="AC8" i="9"/>
  <c r="AC26" i="9"/>
  <c r="AC24" i="9"/>
  <c r="AC22" i="9"/>
  <c r="AC19" i="9"/>
  <c r="AC18" i="9"/>
  <c r="AC15" i="9"/>
  <c r="AC14" i="9"/>
  <c r="AC13" i="9"/>
  <c r="AC2" i="9"/>
  <c r="AC33" i="9"/>
  <c r="AC32" i="9"/>
  <c r="AC7" i="9"/>
  <c r="AC34" i="9"/>
  <c r="AC31" i="9"/>
  <c r="AC6" i="9"/>
  <c r="AC30" i="9"/>
  <c r="AC5" i="9"/>
  <c r="AC29" i="9"/>
  <c r="AC4" i="9"/>
  <c r="AC28" i="9"/>
  <c r="AF3" i="9"/>
  <c r="AF2" i="9"/>
  <c r="R2" i="5"/>
</calcChain>
</file>

<file path=xl/sharedStrings.xml><?xml version="1.0" encoding="utf-8"?>
<sst xmlns="http://schemas.openxmlformats.org/spreadsheetml/2006/main" count="292" uniqueCount="190">
  <si>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</si>
  <si>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</si>
  <si>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</si>
  <si>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</si>
  <si>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</si>
  <si>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</si>
  <si>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</si>
  <si>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</si>
  <si>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</si>
  <si>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</si>
  <si>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</si>
  <si>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</si>
  <si>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</si>
  <si>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6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</si>
  <si>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</si>
  <si>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</si>
  <si>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</si>
  <si>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</si>
  <si>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</si>
  <si>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</si>
  <si>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</si>
  <si>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</si>
  <si>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</si>
  <si>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</si>
  <si>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21</t>
  </si>
  <si>
    <t>22</t>
  </si>
  <si>
    <t>23</t>
  </si>
  <si>
    <t>24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</si>
  <si>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</si>
  <si>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</si>
  <si>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</si>
  <si>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</si>
  <si>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</si>
  <si>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</si>
  <si>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</si>
  <si>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</si>
  <si>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</si>
  <si>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</si>
  <si>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</si>
  <si>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</si>
  <si>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</si>
  <si>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</si>
  <si>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</si>
  <si>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</si>
  <si>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</si>
  <si>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</si>
  <si>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</si>
  <si>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D18</t>
  </si>
  <si>
    <t>D19</t>
  </si>
  <si>
    <t>D20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</si>
  <si>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</si>
  <si>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</si>
  <si>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</si>
  <si>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</si>
  <si>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</si>
  <si>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</si>
  <si>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</si>
  <si>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</si>
  <si>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</si>
  <si>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</si>
  <si>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</si>
  <si>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</si>
  <si>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</si>
  <si>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</si>
  <si>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</si>
  <si>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</si>
  <si>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</si>
  <si>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</si>
  <si>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</si>
  <si>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</si>
  <si>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</si>
  <si>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</si>
  <si>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</si>
  <si>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</si>
  <si>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</si>
  <si>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</si>
  <si>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</si>
  <si>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</si>
  <si>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</si>
  <si>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</si>
  <si>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</si>
  <si>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</si>
  <si>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</si>
  <si>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</si>
  <si>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</si>
  <si>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</si>
  <si>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</si>
  <si>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</si>
  <si>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</si>
  <si>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</si>
  <si>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</si>
  <si>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</si>
  <si>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</si>
  <si>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</si>
  <si>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PhaseShift</t>
  </si>
  <si>
    <t>TapRatio</t>
  </si>
  <si>
    <t>TapLB</t>
  </si>
  <si>
    <t>TapUB</t>
  </si>
  <si>
    <t>T1-324</t>
  </si>
  <si>
    <t>T2-911</t>
  </si>
  <si>
    <t>T3-912</t>
  </si>
  <si>
    <t>T4-1011</t>
  </si>
  <si>
    <t>T5-1012</t>
  </si>
  <si>
    <t>PG</t>
  </si>
  <si>
    <t>QG</t>
  </si>
  <si>
    <t>PGLB</t>
  </si>
  <si>
    <t>PGUB</t>
  </si>
  <si>
    <t>QGLB</t>
  </si>
  <si>
    <t>QGUB</t>
  </si>
  <si>
    <t>VS</t>
  </si>
  <si>
    <t>bid</t>
  </si>
  <si>
    <t>offer</t>
  </si>
  <si>
    <t>GL</t>
  </si>
  <si>
    <t>BL</t>
  </si>
  <si>
    <t>S6</t>
  </si>
  <si>
    <t>reserve(MW)</t>
  </si>
  <si>
    <t>interconnection_ID</t>
  </si>
  <si>
    <t>from_zone</t>
  </si>
  <si>
    <t>to_zone</t>
  </si>
  <si>
    <t>TransferCapacityTo(MW)</t>
  </si>
  <si>
    <t>TransferCapacityFr(MW)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</si>
  <si>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</si>
  <si>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</si>
  <si>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</si>
  <si>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</si>
  <si>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</si>
  <si>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</si>
  <si>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</si>
  <si>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</si>
  <si>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</si>
  <si>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</si>
  <si>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</si>
  <si>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</si>
  <si>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</si>
  <si>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</si>
  <si>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</si>
  <si>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</si>
  <si>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</si>
  <si>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</si>
  <si>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</si>
  <si>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</si>
  <si>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</si>
  <si>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</si>
  <si>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</si>
  <si>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</si>
  <si>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</si>
  <si>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</si>
  <si>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</si>
  <si>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</si>
  <si>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</si>
  <si>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</si>
  <si>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</si>
  <si>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</si>
  <si>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</si>
  <si>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</si>
  <si>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</si>
  <si>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</si>
  <si>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</si>
  <si>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</si>
  <si>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</si>
  <si>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</si>
  <si>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</si>
  <si>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</si>
  <si>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</si>
  <si>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NA</t>
  </si>
  <si>
    <t>baseMVA</t>
  </si>
  <si>
    <t>W1</t>
  </si>
  <si>
    <t>W2</t>
  </si>
  <si>
    <t>W3</t>
  </si>
  <si>
    <t>W4</t>
  </si>
  <si>
    <t>W5</t>
  </si>
  <si>
    <t>W6</t>
  </si>
  <si>
    <t>costc2_org</t>
    <phoneticPr fontId="2" type="noConversion"/>
  </si>
  <si>
    <t>costc1_org</t>
    <phoneticPr fontId="2" type="noConversion"/>
  </si>
  <si>
    <t>costc0_org</t>
    <phoneticPr fontId="2" type="noConversion"/>
  </si>
  <si>
    <t>UNIQUE_check</t>
    <phoneticPr fontId="2" type="noConversion"/>
  </si>
  <si>
    <t>costc1_check</t>
    <phoneticPr fontId="2" type="noConversion"/>
  </si>
  <si>
    <t>costc0_check</t>
    <phoneticPr fontId="2" type="noConversion"/>
  </si>
  <si>
    <t>costc2_check</t>
    <phoneticPr fontId="2" type="noConversion"/>
  </si>
  <si>
    <t>Unique_num</t>
    <phoneticPr fontId="2" type="noConversion"/>
  </si>
  <si>
    <t>Row_num</t>
    <phoneticPr fontId="2" type="noConversion"/>
  </si>
  <si>
    <t>costc1_org</t>
  </si>
  <si>
    <t>costc2_org</t>
  </si>
  <si>
    <t>c_rand</t>
    <phoneticPr fontId="2" type="noConversion"/>
  </si>
  <si>
    <t>cn_rand</t>
    <phoneticPr fontId="2" type="noConversion"/>
  </si>
  <si>
    <t>tol=min(c1,c0)</t>
    <phoneticPr fontId="2" type="noConversion"/>
  </si>
  <si>
    <t>offer_check</t>
    <phoneticPr fontId="2" type="noConversion"/>
  </si>
  <si>
    <t>tol=min(offer)</t>
    <phoneticPr fontId="2" type="noConversion"/>
  </si>
  <si>
    <t>offer_org</t>
    <phoneticPr fontId="2" type="noConversion"/>
  </si>
  <si>
    <t>o_rand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</si>
</sst>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0000_);[Red]\(#,##0.00000000\)"/>
    <numFmt numFmtId="177" formatCode="#,##0.000000_ 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Arial"/>
      <family val="2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3" borderId="0" xfId="0" applyFill="1"/>
    <xf numFmtId="0" fontId="3" fillId="0" borderId="0" xfId="0" applyFont="1" applyAlignment="1">
      <alignment horizontal="center" vertical="top"/>
    </xf>
    <xf numFmtId="0" fontId="4" fillId="0" borderId="0" xfId="0" quotePrefix="1" applyFont="1"/>
    <xf numFmtId="176" fontId="0" fillId="2" borderId="0" xfId="0" applyNumberFormat="1" applyFill="1"/>
    <xf numFmtId="177" fontId="0" fillId="0" borderId="0" xfId="0" applyNumberFormat="1"/>
    <xf numFmtId="0" fontId="4" fillId="2" borderId="0" xfId="0" applyFont="1" applyFill="1"/>
    <xf numFmtId="0" fontId="4" fillId="3" borderId="0" xfId="0" applyFont="1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selection activeCell="C36" sqref="C35:C36"/>
    </sheetView>
  </sheetViews>
  <sheetFormatPr defaultRowHeight="13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138</v>
      </c>
      <c r="C2">
        <v>2</v>
      </c>
      <c r="D2">
        <v>1</v>
      </c>
      <c r="E2">
        <v>1</v>
      </c>
      <c r="F2">
        <v>0</v>
      </c>
      <c r="G2">
        <v>0.95</v>
      </c>
      <c r="H2">
        <v>1.05</v>
      </c>
      <c r="I2">
        <v>0.95</v>
      </c>
      <c r="J2">
        <v>1.05</v>
      </c>
    </row>
    <row r="3" spans="1:10" x14ac:dyDescent="0.3">
      <c r="A3">
        <v>2</v>
      </c>
      <c r="B3">
        <v>138</v>
      </c>
      <c r="C3">
        <v>2</v>
      </c>
      <c r="D3">
        <v>1</v>
      </c>
      <c r="E3">
        <v>1</v>
      </c>
      <c r="F3">
        <v>0</v>
      </c>
      <c r="G3">
        <v>0.95</v>
      </c>
      <c r="H3">
        <v>1.05</v>
      </c>
      <c r="I3">
        <v>0.95</v>
      </c>
      <c r="J3">
        <v>1.05</v>
      </c>
    </row>
    <row r="4" spans="1:10" x14ac:dyDescent="0.3">
      <c r="A4">
        <v>3</v>
      </c>
      <c r="B4">
        <v>138</v>
      </c>
      <c r="C4">
        <v>1</v>
      </c>
      <c r="D4">
        <v>1</v>
      </c>
      <c r="E4">
        <v>1</v>
      </c>
      <c r="F4">
        <v>0</v>
      </c>
      <c r="G4">
        <v>0.95</v>
      </c>
      <c r="H4">
        <v>1.05</v>
      </c>
      <c r="I4">
        <v>0.95</v>
      </c>
      <c r="J4">
        <v>1.05</v>
      </c>
    </row>
    <row r="5" spans="1:10" x14ac:dyDescent="0.3">
      <c r="A5">
        <v>4</v>
      </c>
      <c r="B5">
        <v>138</v>
      </c>
      <c r="C5">
        <v>1</v>
      </c>
      <c r="D5">
        <v>1</v>
      </c>
      <c r="E5">
        <v>1</v>
      </c>
      <c r="F5">
        <v>0</v>
      </c>
      <c r="G5">
        <v>0.95</v>
      </c>
      <c r="H5">
        <v>1.05</v>
      </c>
      <c r="I5">
        <v>0.95</v>
      </c>
      <c r="J5">
        <v>1.05</v>
      </c>
    </row>
    <row r="6" spans="1:10" x14ac:dyDescent="0.3">
      <c r="A6">
        <v>5</v>
      </c>
      <c r="B6">
        <v>138</v>
      </c>
      <c r="C6">
        <v>1</v>
      </c>
      <c r="D6">
        <v>1</v>
      </c>
      <c r="E6">
        <v>1</v>
      </c>
      <c r="F6">
        <v>0</v>
      </c>
      <c r="G6">
        <v>0.95</v>
      </c>
      <c r="H6">
        <v>1.05</v>
      </c>
      <c r="I6">
        <v>0.95</v>
      </c>
      <c r="J6">
        <v>1.05</v>
      </c>
    </row>
    <row r="7" spans="1:10" x14ac:dyDescent="0.3">
      <c r="A7">
        <v>6</v>
      </c>
      <c r="B7">
        <v>138</v>
      </c>
      <c r="C7">
        <v>1</v>
      </c>
      <c r="D7">
        <v>1</v>
      </c>
      <c r="E7">
        <v>1</v>
      </c>
      <c r="F7">
        <v>0</v>
      </c>
      <c r="G7">
        <v>0.95</v>
      </c>
      <c r="H7">
        <v>1.05</v>
      </c>
      <c r="I7">
        <v>0.95</v>
      </c>
      <c r="J7">
        <v>1.05</v>
      </c>
    </row>
    <row r="8" spans="1:10" x14ac:dyDescent="0.3">
      <c r="A8">
        <v>7</v>
      </c>
      <c r="B8">
        <v>138</v>
      </c>
      <c r="C8">
        <v>2</v>
      </c>
      <c r="D8">
        <v>1</v>
      </c>
      <c r="E8">
        <v>1</v>
      </c>
      <c r="F8">
        <v>0</v>
      </c>
      <c r="G8">
        <v>0.95</v>
      </c>
      <c r="H8">
        <v>1.05</v>
      </c>
      <c r="I8">
        <v>0.95</v>
      </c>
      <c r="J8">
        <v>1.05</v>
      </c>
    </row>
    <row r="9" spans="1:10" x14ac:dyDescent="0.3">
      <c r="A9">
        <v>8</v>
      </c>
      <c r="B9">
        <v>138</v>
      </c>
      <c r="C9">
        <v>1</v>
      </c>
      <c r="D9">
        <v>1</v>
      </c>
      <c r="E9">
        <v>1</v>
      </c>
      <c r="F9">
        <v>0</v>
      </c>
      <c r="G9">
        <v>0.95</v>
      </c>
      <c r="H9">
        <v>1.05</v>
      </c>
      <c r="I9">
        <v>0.95</v>
      </c>
      <c r="J9">
        <v>1.05</v>
      </c>
    </row>
    <row r="10" spans="1:10" x14ac:dyDescent="0.3">
      <c r="A10">
        <v>9</v>
      </c>
      <c r="B10">
        <v>138</v>
      </c>
      <c r="C10">
        <v>1</v>
      </c>
      <c r="D10">
        <v>1</v>
      </c>
      <c r="E10">
        <v>1</v>
      </c>
      <c r="F10">
        <v>0</v>
      </c>
      <c r="G10">
        <v>0.95</v>
      </c>
      <c r="H10">
        <v>1.05</v>
      </c>
      <c r="I10">
        <v>0.95</v>
      </c>
      <c r="J10">
        <v>1.05</v>
      </c>
    </row>
    <row r="11" spans="1:10" x14ac:dyDescent="0.3">
      <c r="A11">
        <v>10</v>
      </c>
      <c r="B11">
        <v>138</v>
      </c>
      <c r="C11">
        <v>1</v>
      </c>
      <c r="D11">
        <v>1</v>
      </c>
      <c r="E11">
        <v>1</v>
      </c>
      <c r="F11">
        <v>0</v>
      </c>
      <c r="G11">
        <v>0.95</v>
      </c>
      <c r="H11">
        <v>1.05</v>
      </c>
      <c r="I11">
        <v>0.95</v>
      </c>
      <c r="J11">
        <v>1.05</v>
      </c>
    </row>
    <row r="12" spans="1:10" x14ac:dyDescent="0.3">
      <c r="A12">
        <v>11</v>
      </c>
      <c r="B12">
        <v>230</v>
      </c>
      <c r="C12">
        <v>1</v>
      </c>
      <c r="D12">
        <v>1</v>
      </c>
      <c r="E12">
        <v>1</v>
      </c>
      <c r="F12">
        <v>0</v>
      </c>
      <c r="G12">
        <v>0.95</v>
      </c>
      <c r="H12">
        <v>1.05</v>
      </c>
      <c r="I12">
        <v>0.95</v>
      </c>
      <c r="J12">
        <v>1.05</v>
      </c>
    </row>
    <row r="13" spans="1:10" x14ac:dyDescent="0.3">
      <c r="A13">
        <v>12</v>
      </c>
      <c r="B13">
        <v>230</v>
      </c>
      <c r="C13">
        <v>1</v>
      </c>
      <c r="D13">
        <v>1</v>
      </c>
      <c r="E13">
        <v>1</v>
      </c>
      <c r="F13">
        <v>0</v>
      </c>
      <c r="G13">
        <v>0.95</v>
      </c>
      <c r="H13">
        <v>1.05</v>
      </c>
      <c r="I13">
        <v>0.95</v>
      </c>
      <c r="J13">
        <v>1.05</v>
      </c>
    </row>
    <row r="14" spans="1:10" x14ac:dyDescent="0.3">
      <c r="A14">
        <v>13</v>
      </c>
      <c r="B14">
        <v>230</v>
      </c>
      <c r="C14">
        <v>3</v>
      </c>
      <c r="D14">
        <v>1</v>
      </c>
      <c r="E14">
        <v>1</v>
      </c>
      <c r="F14">
        <v>0</v>
      </c>
      <c r="G14">
        <v>0.95</v>
      </c>
      <c r="H14">
        <v>1.05</v>
      </c>
      <c r="I14">
        <v>0.95</v>
      </c>
      <c r="J14">
        <v>1.05</v>
      </c>
    </row>
    <row r="15" spans="1:10" x14ac:dyDescent="0.3">
      <c r="A15">
        <v>14</v>
      </c>
      <c r="B15">
        <v>230</v>
      </c>
      <c r="C15">
        <v>2</v>
      </c>
      <c r="D15">
        <v>1</v>
      </c>
      <c r="E15">
        <v>1</v>
      </c>
      <c r="F15">
        <v>0</v>
      </c>
      <c r="G15">
        <v>0.95</v>
      </c>
      <c r="H15">
        <v>1.05</v>
      </c>
      <c r="I15">
        <v>0.95</v>
      </c>
      <c r="J15">
        <v>1.05</v>
      </c>
    </row>
    <row r="16" spans="1:10" x14ac:dyDescent="0.3">
      <c r="A16">
        <v>15</v>
      </c>
      <c r="B16">
        <v>230</v>
      </c>
      <c r="C16">
        <v>2</v>
      </c>
      <c r="D16">
        <v>1</v>
      </c>
      <c r="E16">
        <v>1</v>
      </c>
      <c r="F16">
        <v>0</v>
      </c>
      <c r="G16">
        <v>0.95</v>
      </c>
      <c r="H16">
        <v>1.05</v>
      </c>
      <c r="I16">
        <v>0.95</v>
      </c>
      <c r="J16">
        <v>1.05</v>
      </c>
    </row>
    <row r="17" spans="1:10" x14ac:dyDescent="0.3">
      <c r="A17">
        <v>16</v>
      </c>
      <c r="B17">
        <v>230</v>
      </c>
      <c r="C17">
        <v>2</v>
      </c>
      <c r="D17">
        <v>1</v>
      </c>
      <c r="E17">
        <v>1</v>
      </c>
      <c r="F17">
        <v>0</v>
      </c>
      <c r="G17">
        <v>0.95</v>
      </c>
      <c r="H17">
        <v>1.05</v>
      </c>
      <c r="I17">
        <v>0.95</v>
      </c>
      <c r="J17">
        <v>1.05</v>
      </c>
    </row>
    <row r="18" spans="1:10" x14ac:dyDescent="0.3">
      <c r="A18">
        <v>17</v>
      </c>
      <c r="B18">
        <v>230</v>
      </c>
      <c r="C18">
        <v>1</v>
      </c>
      <c r="D18">
        <v>1</v>
      </c>
      <c r="E18">
        <v>1</v>
      </c>
      <c r="F18">
        <v>0</v>
      </c>
      <c r="G18">
        <v>0.95</v>
      </c>
      <c r="H18">
        <v>1.05</v>
      </c>
      <c r="I18">
        <v>0.95</v>
      </c>
      <c r="J18">
        <v>1.05</v>
      </c>
    </row>
    <row r="19" spans="1:10" x14ac:dyDescent="0.3">
      <c r="A19">
        <v>18</v>
      </c>
      <c r="B19">
        <v>230</v>
      </c>
      <c r="C19">
        <v>2</v>
      </c>
      <c r="D19">
        <v>1</v>
      </c>
      <c r="E19">
        <v>1</v>
      </c>
      <c r="F19">
        <v>0</v>
      </c>
      <c r="G19">
        <v>0.95</v>
      </c>
      <c r="H19">
        <v>1.05</v>
      </c>
      <c r="I19">
        <v>0.95</v>
      </c>
      <c r="J19">
        <v>1.05</v>
      </c>
    </row>
    <row r="20" spans="1:10" x14ac:dyDescent="0.3">
      <c r="A20">
        <v>19</v>
      </c>
      <c r="B20">
        <v>230</v>
      </c>
      <c r="C20">
        <v>1</v>
      </c>
      <c r="D20">
        <v>1</v>
      </c>
      <c r="E20">
        <v>1</v>
      </c>
      <c r="F20">
        <v>0</v>
      </c>
      <c r="G20">
        <v>0.95</v>
      </c>
      <c r="H20">
        <v>1.05</v>
      </c>
      <c r="I20">
        <v>0.95</v>
      </c>
      <c r="J20">
        <v>1.05</v>
      </c>
    </row>
    <row r="21" spans="1:10" x14ac:dyDescent="0.3">
      <c r="A21">
        <v>20</v>
      </c>
      <c r="B21">
        <v>230</v>
      </c>
      <c r="C21">
        <v>1</v>
      </c>
      <c r="D21">
        <v>1</v>
      </c>
      <c r="E21">
        <v>1</v>
      </c>
      <c r="F21">
        <v>0</v>
      </c>
      <c r="G21">
        <v>0.95</v>
      </c>
      <c r="H21">
        <v>1.05</v>
      </c>
      <c r="I21">
        <v>0.95</v>
      </c>
      <c r="J21">
        <v>1.05</v>
      </c>
    </row>
    <row r="22" spans="1:10" x14ac:dyDescent="0.3">
      <c r="A22">
        <v>21</v>
      </c>
      <c r="B22">
        <v>230</v>
      </c>
      <c r="C22">
        <v>2</v>
      </c>
      <c r="D22">
        <v>1</v>
      </c>
      <c r="E22">
        <v>1</v>
      </c>
      <c r="F22">
        <v>0</v>
      </c>
      <c r="G22">
        <v>0.95</v>
      </c>
      <c r="H22">
        <v>1.05</v>
      </c>
      <c r="I22">
        <v>0.95</v>
      </c>
      <c r="J22">
        <v>1.05</v>
      </c>
    </row>
    <row r="23" spans="1:10" x14ac:dyDescent="0.3">
      <c r="A23">
        <v>22</v>
      </c>
      <c r="B23">
        <v>230</v>
      </c>
      <c r="C23">
        <v>2</v>
      </c>
      <c r="D23">
        <v>1</v>
      </c>
      <c r="E23">
        <v>1</v>
      </c>
      <c r="F23">
        <v>0</v>
      </c>
      <c r="G23">
        <v>0.95</v>
      </c>
      <c r="H23">
        <v>1.05</v>
      </c>
      <c r="I23">
        <v>0.95</v>
      </c>
      <c r="J23">
        <v>1.05</v>
      </c>
    </row>
    <row r="24" spans="1:10" x14ac:dyDescent="0.3">
      <c r="A24">
        <v>23</v>
      </c>
      <c r="B24">
        <v>230</v>
      </c>
      <c r="C24">
        <v>2</v>
      </c>
      <c r="D24">
        <v>1</v>
      </c>
      <c r="E24">
        <v>1</v>
      </c>
      <c r="F24">
        <v>0</v>
      </c>
      <c r="G24">
        <v>0.95</v>
      </c>
      <c r="H24">
        <v>1.05</v>
      </c>
      <c r="I24">
        <v>0.95</v>
      </c>
      <c r="J24">
        <v>1.05</v>
      </c>
    </row>
    <row r="25" spans="1:10" x14ac:dyDescent="0.3">
      <c r="A25">
        <v>24</v>
      </c>
      <c r="B25">
        <v>230</v>
      </c>
      <c r="C25">
        <v>1</v>
      </c>
      <c r="D25">
        <v>1</v>
      </c>
      <c r="E25">
        <v>1</v>
      </c>
      <c r="F25">
        <v>0</v>
      </c>
      <c r="G25">
        <v>0.95</v>
      </c>
      <c r="H25">
        <v>1.05</v>
      </c>
      <c r="I25">
        <v>0.95</v>
      </c>
      <c r="J25">
        <v>1.05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selection activeCell="T33" sqref="T33"/>
    </sheetView>
  </sheetViews>
  <sheetFormatPr defaultRowHeight="13.5" x14ac:dyDescent="0.3"/>
  <sheetData>
    <row r="1" spans="1:6" x14ac:dyDescent="0.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3">
      <c r="A2" t="s">
        <v>33</v>
      </c>
      <c r="B2">
        <v>1</v>
      </c>
      <c r="C2">
        <v>108</v>
      </c>
      <c r="D2">
        <v>22</v>
      </c>
      <c r="E2">
        <v>1</v>
      </c>
      <c r="F2">
        <v>100000</v>
      </c>
    </row>
    <row r="3" spans="1:6" x14ac:dyDescent="0.3">
      <c r="A3" t="s">
        <v>34</v>
      </c>
      <c r="B3">
        <v>2</v>
      </c>
      <c r="C3">
        <v>97</v>
      </c>
      <c r="D3">
        <v>20</v>
      </c>
      <c r="E3">
        <v>1</v>
      </c>
      <c r="F3">
        <v>100000</v>
      </c>
    </row>
    <row r="4" spans="1:6" x14ac:dyDescent="0.3">
      <c r="A4" t="s">
        <v>35</v>
      </c>
      <c r="B4">
        <v>3</v>
      </c>
      <c r="C4">
        <v>180</v>
      </c>
      <c r="D4">
        <v>37</v>
      </c>
      <c r="E4">
        <v>1</v>
      </c>
      <c r="F4">
        <v>100000</v>
      </c>
    </row>
    <row r="5" spans="1:6" x14ac:dyDescent="0.3">
      <c r="A5" t="s">
        <v>36</v>
      </c>
      <c r="B5">
        <v>4</v>
      </c>
      <c r="C5">
        <v>74</v>
      </c>
      <c r="D5">
        <v>15</v>
      </c>
      <c r="E5">
        <v>1</v>
      </c>
      <c r="F5">
        <v>100000</v>
      </c>
    </row>
    <row r="6" spans="1:6" x14ac:dyDescent="0.3">
      <c r="A6" t="s">
        <v>37</v>
      </c>
      <c r="B6">
        <v>5</v>
      </c>
      <c r="C6">
        <v>71</v>
      </c>
      <c r="D6">
        <v>14</v>
      </c>
      <c r="E6">
        <v>1</v>
      </c>
      <c r="F6">
        <v>100000</v>
      </c>
    </row>
    <row r="7" spans="1:6" x14ac:dyDescent="0.3">
      <c r="A7" t="s">
        <v>38</v>
      </c>
      <c r="B7">
        <v>6</v>
      </c>
      <c r="C7">
        <v>136</v>
      </c>
      <c r="D7">
        <v>28</v>
      </c>
      <c r="E7">
        <v>1</v>
      </c>
      <c r="F7">
        <v>100000</v>
      </c>
    </row>
    <row r="8" spans="1:6" x14ac:dyDescent="0.3">
      <c r="A8" t="s">
        <v>39</v>
      </c>
      <c r="B8">
        <v>7</v>
      </c>
      <c r="C8">
        <v>125</v>
      </c>
      <c r="D8">
        <v>25</v>
      </c>
      <c r="E8">
        <v>1</v>
      </c>
      <c r="F8">
        <v>100000</v>
      </c>
    </row>
    <row r="9" spans="1:6" x14ac:dyDescent="0.3">
      <c r="A9" t="s">
        <v>40</v>
      </c>
      <c r="B9">
        <v>8</v>
      </c>
      <c r="C9">
        <v>171</v>
      </c>
      <c r="D9">
        <v>35</v>
      </c>
      <c r="E9">
        <v>1</v>
      </c>
      <c r="F9">
        <v>100000</v>
      </c>
    </row>
    <row r="10" spans="1:6" x14ac:dyDescent="0.3">
      <c r="A10" t="s">
        <v>41</v>
      </c>
      <c r="B10">
        <v>9</v>
      </c>
      <c r="C10">
        <v>175</v>
      </c>
      <c r="D10">
        <v>36</v>
      </c>
      <c r="E10">
        <v>1</v>
      </c>
      <c r="F10">
        <v>100000</v>
      </c>
    </row>
    <row r="11" spans="1:6" x14ac:dyDescent="0.3">
      <c r="A11" t="s">
        <v>42</v>
      </c>
      <c r="B11">
        <v>10</v>
      </c>
      <c r="C11">
        <v>195</v>
      </c>
      <c r="D11">
        <v>40</v>
      </c>
      <c r="E11">
        <v>1</v>
      </c>
      <c r="F11">
        <v>100000</v>
      </c>
    </row>
    <row r="12" spans="1:6" x14ac:dyDescent="0.3">
      <c r="A12" t="s">
        <v>43</v>
      </c>
      <c r="B12">
        <v>13</v>
      </c>
      <c r="C12">
        <v>265</v>
      </c>
      <c r="D12">
        <v>54</v>
      </c>
      <c r="E12">
        <v>1</v>
      </c>
      <c r="F12">
        <v>100000</v>
      </c>
    </row>
    <row r="13" spans="1:6" x14ac:dyDescent="0.3">
      <c r="A13" t="s">
        <v>44</v>
      </c>
      <c r="B13">
        <v>14</v>
      </c>
      <c r="C13">
        <v>194</v>
      </c>
      <c r="D13">
        <v>39</v>
      </c>
      <c r="E13">
        <v>1</v>
      </c>
      <c r="F13">
        <v>100000</v>
      </c>
    </row>
    <row r="14" spans="1:6" x14ac:dyDescent="0.3">
      <c r="A14" t="s">
        <v>45</v>
      </c>
      <c r="B14">
        <v>15</v>
      </c>
      <c r="C14">
        <v>317</v>
      </c>
      <c r="D14">
        <v>64</v>
      </c>
      <c r="E14">
        <v>1</v>
      </c>
      <c r="F14">
        <v>100000</v>
      </c>
    </row>
    <row r="15" spans="1:6" x14ac:dyDescent="0.3">
      <c r="A15" t="s">
        <v>46</v>
      </c>
      <c r="B15">
        <v>16</v>
      </c>
      <c r="C15">
        <v>100</v>
      </c>
      <c r="D15">
        <v>20</v>
      </c>
      <c r="E15">
        <v>1</v>
      </c>
      <c r="F15">
        <v>100000</v>
      </c>
    </row>
    <row r="16" spans="1:6" x14ac:dyDescent="0.3">
      <c r="A16" t="s">
        <v>47</v>
      </c>
      <c r="B16">
        <v>18</v>
      </c>
      <c r="C16">
        <v>333</v>
      </c>
      <c r="D16">
        <v>68</v>
      </c>
      <c r="E16">
        <v>1</v>
      </c>
      <c r="F16">
        <v>100000</v>
      </c>
    </row>
    <row r="17" spans="1:6" x14ac:dyDescent="0.3">
      <c r="A17" t="s">
        <v>48</v>
      </c>
      <c r="B17">
        <v>19</v>
      </c>
      <c r="C17">
        <v>181</v>
      </c>
      <c r="D17">
        <v>37</v>
      </c>
      <c r="E17">
        <v>1</v>
      </c>
      <c r="F17">
        <v>100000</v>
      </c>
    </row>
    <row r="18" spans="1:6" x14ac:dyDescent="0.3">
      <c r="A18" t="s">
        <v>49</v>
      </c>
      <c r="B18">
        <v>20</v>
      </c>
      <c r="C18">
        <v>128</v>
      </c>
      <c r="D18">
        <v>26</v>
      </c>
      <c r="E18">
        <v>1</v>
      </c>
      <c r="F18">
        <v>100000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tabSelected="1" workbookViewId="0">
      <selection activeCell="M10" sqref="M10"/>
    </sheetView>
  </sheetViews>
  <sheetFormatPr defaultRowHeight="13.5" x14ac:dyDescent="0.3"/>
  <sheetData>
    <row r="1" spans="1:13" x14ac:dyDescent="0.3">
      <c r="A1" s="1" t="s">
        <v>0</v>
      </c>
      <c r="B1" s="1" t="s">
        <v>50</v>
      </c>
      <c r="C1" s="1" t="s">
        <v>51</v>
      </c>
      <c r="D1" s="1" t="s">
        <v>31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</row>
    <row r="2" spans="1:13" x14ac:dyDescent="0.3">
      <c r="A2" t="s">
        <v>61</v>
      </c>
      <c r="B2">
        <v>1</v>
      </c>
      <c r="C2">
        <v>2</v>
      </c>
      <c r="D2">
        <v>1</v>
      </c>
      <c r="E2">
        <v>2.5999999999999999E-3</v>
      </c>
      <c r="F2">
        <v>1.3899999999999999E-2</v>
      </c>
      <c r="G2">
        <v>0.46110000000000001</v>
      </c>
      <c r="H2">
        <v>200</v>
      </c>
      <c r="I2">
        <v>175</v>
      </c>
      <c r="J2">
        <v>-360</v>
      </c>
      <c r="K2">
        <v>360</v>
      </c>
      <c r="L2">
        <v>1</v>
      </c>
      <c r="M2">
        <v>1E-4</v>
      </c>
    </row>
    <row r="3" spans="1:13" x14ac:dyDescent="0.3">
      <c r="A3" t="s">
        <v>62</v>
      </c>
      <c r="B3">
        <v>1</v>
      </c>
      <c r="C3">
        <v>3</v>
      </c>
      <c r="D3">
        <v>1</v>
      </c>
      <c r="E3">
        <v>5.4600000000000003E-2</v>
      </c>
      <c r="F3">
        <v>0.2112</v>
      </c>
      <c r="G3">
        <v>5.7200000000000001E-2</v>
      </c>
      <c r="H3">
        <v>220</v>
      </c>
      <c r="I3">
        <v>175</v>
      </c>
      <c r="J3">
        <v>-360</v>
      </c>
      <c r="K3">
        <v>360</v>
      </c>
      <c r="L3">
        <v>1</v>
      </c>
      <c r="M3">
        <v>1E-4</v>
      </c>
    </row>
    <row r="4" spans="1:13" x14ac:dyDescent="0.3">
      <c r="A4" t="s">
        <v>63</v>
      </c>
      <c r="B4">
        <v>1</v>
      </c>
      <c r="C4">
        <v>5</v>
      </c>
      <c r="D4">
        <v>1</v>
      </c>
      <c r="E4">
        <v>2.18E-2</v>
      </c>
      <c r="F4">
        <v>8.4500000000000006E-2</v>
      </c>
      <c r="G4">
        <v>2.29E-2</v>
      </c>
      <c r="H4">
        <v>220</v>
      </c>
      <c r="I4">
        <v>175</v>
      </c>
      <c r="J4">
        <v>-360</v>
      </c>
      <c r="K4">
        <v>360</v>
      </c>
      <c r="L4">
        <v>1</v>
      </c>
      <c r="M4">
        <v>1E-4</v>
      </c>
    </row>
    <row r="5" spans="1:13" x14ac:dyDescent="0.3">
      <c r="A5" t="s">
        <v>64</v>
      </c>
      <c r="B5">
        <v>2</v>
      </c>
      <c r="C5">
        <v>4</v>
      </c>
      <c r="D5">
        <v>1</v>
      </c>
      <c r="E5">
        <v>3.2800000000000003E-2</v>
      </c>
      <c r="F5">
        <v>0.12670000000000001</v>
      </c>
      <c r="G5">
        <v>3.4299999999999997E-2</v>
      </c>
      <c r="H5">
        <v>220</v>
      </c>
      <c r="I5">
        <v>175</v>
      </c>
      <c r="J5">
        <v>-360</v>
      </c>
      <c r="K5">
        <v>360</v>
      </c>
      <c r="L5">
        <v>1</v>
      </c>
      <c r="M5">
        <v>1E-4</v>
      </c>
    </row>
    <row r="6" spans="1:13" x14ac:dyDescent="0.3">
      <c r="A6" t="s">
        <v>65</v>
      </c>
      <c r="B6">
        <v>2</v>
      </c>
      <c r="C6">
        <v>6</v>
      </c>
      <c r="D6">
        <v>1</v>
      </c>
      <c r="E6">
        <v>4.9700000000000001E-2</v>
      </c>
      <c r="F6">
        <v>0.192</v>
      </c>
      <c r="G6">
        <v>5.1999999999999998E-2</v>
      </c>
      <c r="H6">
        <v>220</v>
      </c>
      <c r="I6">
        <v>175</v>
      </c>
      <c r="J6">
        <v>-360</v>
      </c>
      <c r="K6">
        <v>360</v>
      </c>
      <c r="L6">
        <v>1</v>
      </c>
      <c r="M6">
        <v>1E-4</v>
      </c>
    </row>
    <row r="7" spans="1:13" x14ac:dyDescent="0.3">
      <c r="A7" t="s">
        <v>66</v>
      </c>
      <c r="B7">
        <v>3</v>
      </c>
      <c r="C7">
        <v>9</v>
      </c>
      <c r="D7">
        <v>1</v>
      </c>
      <c r="E7">
        <v>3.0800000000000001E-2</v>
      </c>
      <c r="F7">
        <v>0.11899999999999999</v>
      </c>
      <c r="G7">
        <v>3.2199999999999999E-2</v>
      </c>
      <c r="H7">
        <v>220</v>
      </c>
      <c r="I7">
        <v>175</v>
      </c>
      <c r="J7">
        <v>-360</v>
      </c>
      <c r="K7">
        <v>360</v>
      </c>
      <c r="L7">
        <v>1</v>
      </c>
      <c r="M7">
        <v>1E-4</v>
      </c>
    </row>
    <row r="8" spans="1:13" x14ac:dyDescent="0.3">
      <c r="A8" t="s">
        <v>67</v>
      </c>
      <c r="B8">
        <v>4</v>
      </c>
      <c r="C8">
        <v>9</v>
      </c>
      <c r="D8">
        <v>1</v>
      </c>
      <c r="E8">
        <v>2.6800000000000001E-2</v>
      </c>
      <c r="F8">
        <v>0.1037</v>
      </c>
      <c r="G8">
        <v>2.81E-2</v>
      </c>
      <c r="H8">
        <v>220</v>
      </c>
      <c r="I8">
        <v>175</v>
      </c>
      <c r="J8">
        <v>-360</v>
      </c>
      <c r="K8">
        <v>360</v>
      </c>
      <c r="L8">
        <v>1</v>
      </c>
      <c r="M8">
        <v>1E-4</v>
      </c>
    </row>
    <row r="9" spans="1:13" x14ac:dyDescent="0.3">
      <c r="A9" t="s">
        <v>68</v>
      </c>
      <c r="B9">
        <v>5</v>
      </c>
      <c r="C9">
        <v>10</v>
      </c>
      <c r="D9">
        <v>1</v>
      </c>
      <c r="E9">
        <v>2.2800000000000001E-2</v>
      </c>
      <c r="F9">
        <v>8.8300000000000003E-2</v>
      </c>
      <c r="G9">
        <v>2.3900000000000001E-2</v>
      </c>
      <c r="H9">
        <v>220</v>
      </c>
      <c r="I9">
        <v>175</v>
      </c>
      <c r="J9">
        <v>-360</v>
      </c>
      <c r="K9">
        <v>360</v>
      </c>
      <c r="L9">
        <v>1</v>
      </c>
      <c r="M9">
        <v>1E-4</v>
      </c>
    </row>
    <row r="10" spans="1:13" x14ac:dyDescent="0.3">
      <c r="A10" t="s">
        <v>69</v>
      </c>
      <c r="B10">
        <v>6</v>
      </c>
      <c r="C10">
        <v>10</v>
      </c>
      <c r="D10">
        <v>1</v>
      </c>
      <c r="E10">
        <v>1.3899999999999999E-2</v>
      </c>
      <c r="F10">
        <v>6.0499999999999998E-2</v>
      </c>
      <c r="G10">
        <v>2.4590000000000001</v>
      </c>
      <c r="H10">
        <v>200</v>
      </c>
      <c r="I10">
        <v>175</v>
      </c>
      <c r="J10">
        <v>-360</v>
      </c>
      <c r="K10">
        <v>360</v>
      </c>
      <c r="L10">
        <v>1</v>
      </c>
      <c r="M10">
        <v>1E-4</v>
      </c>
    </row>
    <row r="11" spans="1:13" x14ac:dyDescent="0.3">
      <c r="A11" t="s">
        <v>70</v>
      </c>
      <c r="B11">
        <v>7</v>
      </c>
      <c r="C11">
        <v>8</v>
      </c>
      <c r="D11">
        <v>1</v>
      </c>
      <c r="E11">
        <v>1.5900000000000001E-2</v>
      </c>
      <c r="F11">
        <v>6.1400000000000003E-2</v>
      </c>
      <c r="G11">
        <v>1.66E-2</v>
      </c>
      <c r="H11">
        <v>220</v>
      </c>
      <c r="I11">
        <v>175</v>
      </c>
      <c r="J11">
        <v>-360</v>
      </c>
      <c r="K11">
        <v>360</v>
      </c>
      <c r="L11" s="13">
        <v>0</v>
      </c>
      <c r="M11">
        <v>1E-4</v>
      </c>
    </row>
    <row r="12" spans="1:13" x14ac:dyDescent="0.3">
      <c r="A12" t="s">
        <v>71</v>
      </c>
      <c r="B12">
        <v>8</v>
      </c>
      <c r="C12">
        <v>9</v>
      </c>
      <c r="D12">
        <v>1</v>
      </c>
      <c r="E12">
        <v>4.2700000000000002E-2</v>
      </c>
      <c r="F12">
        <v>0.1651</v>
      </c>
      <c r="G12">
        <v>4.4699999999999997E-2</v>
      </c>
      <c r="H12">
        <v>220</v>
      </c>
      <c r="I12">
        <v>175</v>
      </c>
      <c r="J12">
        <v>-360</v>
      </c>
      <c r="K12">
        <v>360</v>
      </c>
      <c r="L12">
        <v>1</v>
      </c>
      <c r="M12">
        <v>1E-4</v>
      </c>
    </row>
    <row r="13" spans="1:13" x14ac:dyDescent="0.3">
      <c r="A13" t="s">
        <v>72</v>
      </c>
      <c r="B13">
        <v>8</v>
      </c>
      <c r="C13">
        <v>10</v>
      </c>
      <c r="D13">
        <v>1</v>
      </c>
      <c r="E13">
        <v>4.2700000000000002E-2</v>
      </c>
      <c r="F13">
        <v>0.1651</v>
      </c>
      <c r="G13">
        <v>4.4699999999999997E-2</v>
      </c>
      <c r="H13">
        <v>220</v>
      </c>
      <c r="I13">
        <v>175</v>
      </c>
      <c r="J13">
        <v>-360</v>
      </c>
      <c r="K13">
        <v>360</v>
      </c>
      <c r="L13">
        <v>1</v>
      </c>
      <c r="M13">
        <v>1E-4</v>
      </c>
    </row>
    <row r="14" spans="1:13" x14ac:dyDescent="0.3">
      <c r="A14" t="s">
        <v>73</v>
      </c>
      <c r="B14">
        <v>11</v>
      </c>
      <c r="C14">
        <v>13</v>
      </c>
      <c r="D14">
        <v>1</v>
      </c>
      <c r="E14">
        <v>6.1000000000000004E-3</v>
      </c>
      <c r="F14">
        <v>4.7600000000000003E-2</v>
      </c>
      <c r="G14">
        <v>9.9900000000000003E-2</v>
      </c>
      <c r="H14">
        <v>625</v>
      </c>
      <c r="I14">
        <v>500</v>
      </c>
      <c r="J14">
        <v>-360</v>
      </c>
      <c r="K14">
        <v>360</v>
      </c>
      <c r="L14">
        <v>1</v>
      </c>
      <c r="M14">
        <v>1E-4</v>
      </c>
    </row>
    <row r="15" spans="1:13" x14ac:dyDescent="0.3">
      <c r="A15" t="s">
        <v>74</v>
      </c>
      <c r="B15">
        <v>11</v>
      </c>
      <c r="C15">
        <v>14</v>
      </c>
      <c r="D15">
        <v>1</v>
      </c>
      <c r="E15">
        <v>5.4000000000000003E-3</v>
      </c>
      <c r="F15">
        <v>4.1799999999999997E-2</v>
      </c>
      <c r="G15">
        <v>8.7900000000000006E-2</v>
      </c>
      <c r="H15">
        <v>625</v>
      </c>
      <c r="I15">
        <v>500</v>
      </c>
      <c r="J15">
        <v>-360</v>
      </c>
      <c r="K15">
        <v>360</v>
      </c>
      <c r="L15">
        <v>1</v>
      </c>
      <c r="M15">
        <v>1E-4</v>
      </c>
    </row>
    <row r="16" spans="1:13" x14ac:dyDescent="0.3">
      <c r="A16" t="s">
        <v>75</v>
      </c>
      <c r="B16">
        <v>12</v>
      </c>
      <c r="C16">
        <v>13</v>
      </c>
      <c r="D16">
        <v>1</v>
      </c>
      <c r="E16">
        <v>6.1000000000000004E-3</v>
      </c>
      <c r="F16">
        <v>4.7600000000000003E-2</v>
      </c>
      <c r="G16">
        <v>9.9900000000000003E-2</v>
      </c>
      <c r="H16">
        <v>625</v>
      </c>
      <c r="I16">
        <v>500</v>
      </c>
      <c r="J16">
        <v>-360</v>
      </c>
      <c r="K16">
        <v>360</v>
      </c>
      <c r="L16">
        <v>1</v>
      </c>
      <c r="M16">
        <v>1E-4</v>
      </c>
    </row>
    <row r="17" spans="1:13" x14ac:dyDescent="0.3">
      <c r="A17" t="s">
        <v>76</v>
      </c>
      <c r="B17">
        <v>12</v>
      </c>
      <c r="C17">
        <v>23</v>
      </c>
      <c r="D17">
        <v>1</v>
      </c>
      <c r="E17">
        <v>1.24E-2</v>
      </c>
      <c r="F17">
        <v>9.6600000000000005E-2</v>
      </c>
      <c r="G17">
        <v>0.20300000000000001</v>
      </c>
      <c r="H17">
        <v>625</v>
      </c>
      <c r="I17">
        <v>500</v>
      </c>
      <c r="J17">
        <v>-360</v>
      </c>
      <c r="K17">
        <v>360</v>
      </c>
      <c r="L17">
        <v>1</v>
      </c>
      <c r="M17">
        <v>1E-4</v>
      </c>
    </row>
    <row r="18" spans="1:13" x14ac:dyDescent="0.3">
      <c r="A18" t="s">
        <v>77</v>
      </c>
      <c r="B18" s="2">
        <v>13</v>
      </c>
      <c r="C18" s="2">
        <v>23</v>
      </c>
      <c r="D18">
        <v>1</v>
      </c>
      <c r="E18">
        <v>1.11E-2</v>
      </c>
      <c r="F18">
        <v>8.6499999999999994E-2</v>
      </c>
      <c r="G18">
        <v>0.18179999999999999</v>
      </c>
      <c r="H18">
        <v>625</v>
      </c>
      <c r="I18" s="2">
        <v>250</v>
      </c>
      <c r="J18">
        <v>-360</v>
      </c>
      <c r="K18">
        <v>360</v>
      </c>
      <c r="L18">
        <v>1</v>
      </c>
      <c r="M18">
        <v>1E-4</v>
      </c>
    </row>
    <row r="19" spans="1:13" x14ac:dyDescent="0.3">
      <c r="A19" t="s">
        <v>78</v>
      </c>
      <c r="B19" s="2">
        <v>14</v>
      </c>
      <c r="C19" s="2">
        <v>16</v>
      </c>
      <c r="D19">
        <v>1</v>
      </c>
      <c r="E19">
        <v>5.0000000000000001E-3</v>
      </c>
      <c r="F19">
        <v>3.8899999999999997E-2</v>
      </c>
      <c r="G19">
        <v>8.1799999999999998E-2</v>
      </c>
      <c r="H19">
        <v>625</v>
      </c>
      <c r="I19" s="2">
        <v>250</v>
      </c>
      <c r="J19">
        <v>-360</v>
      </c>
      <c r="K19">
        <v>360</v>
      </c>
      <c r="L19">
        <v>1</v>
      </c>
      <c r="M19">
        <v>1E-4</v>
      </c>
    </row>
    <row r="20" spans="1:13" x14ac:dyDescent="0.3">
      <c r="A20" t="s">
        <v>79</v>
      </c>
      <c r="B20">
        <v>15</v>
      </c>
      <c r="C20">
        <v>16</v>
      </c>
      <c r="D20">
        <v>1</v>
      </c>
      <c r="E20">
        <v>2.2000000000000001E-3</v>
      </c>
      <c r="F20">
        <v>1.7299999999999999E-2</v>
      </c>
      <c r="G20">
        <v>3.6400000000000002E-2</v>
      </c>
      <c r="H20">
        <v>625</v>
      </c>
      <c r="I20">
        <v>500</v>
      </c>
      <c r="J20">
        <v>-360</v>
      </c>
      <c r="K20">
        <v>360</v>
      </c>
      <c r="L20">
        <v>1</v>
      </c>
      <c r="M20">
        <v>1E-4</v>
      </c>
    </row>
    <row r="21" spans="1:13" x14ac:dyDescent="0.3">
      <c r="A21" t="s">
        <v>80</v>
      </c>
      <c r="B21" s="2">
        <v>15</v>
      </c>
      <c r="C21" s="2">
        <v>21</v>
      </c>
      <c r="D21">
        <v>1</v>
      </c>
      <c r="E21">
        <v>6.3E-3</v>
      </c>
      <c r="F21">
        <v>4.9000000000000002E-2</v>
      </c>
      <c r="G21">
        <v>0.10299999999999999</v>
      </c>
      <c r="H21">
        <v>625</v>
      </c>
      <c r="I21" s="2">
        <v>200</v>
      </c>
      <c r="J21">
        <v>-360</v>
      </c>
      <c r="K21">
        <v>360</v>
      </c>
      <c r="L21">
        <v>1</v>
      </c>
      <c r="M21">
        <v>1E-4</v>
      </c>
    </row>
    <row r="22" spans="1:13" x14ac:dyDescent="0.3">
      <c r="A22" t="s">
        <v>81</v>
      </c>
      <c r="B22" s="2">
        <v>15</v>
      </c>
      <c r="C22" s="2">
        <v>21</v>
      </c>
      <c r="D22">
        <v>1</v>
      </c>
      <c r="E22">
        <v>6.3E-3</v>
      </c>
      <c r="F22">
        <v>4.9000000000000002E-2</v>
      </c>
      <c r="G22">
        <v>0.10299999999999999</v>
      </c>
      <c r="H22">
        <v>625</v>
      </c>
      <c r="I22" s="2">
        <v>200</v>
      </c>
      <c r="J22">
        <v>-360</v>
      </c>
      <c r="K22">
        <v>360</v>
      </c>
      <c r="L22">
        <v>1</v>
      </c>
      <c r="M22">
        <v>1E-4</v>
      </c>
    </row>
    <row r="23" spans="1:13" x14ac:dyDescent="0.3">
      <c r="A23" t="s">
        <v>82</v>
      </c>
      <c r="B23">
        <v>15</v>
      </c>
      <c r="C23">
        <v>24</v>
      </c>
      <c r="D23">
        <v>1</v>
      </c>
      <c r="E23">
        <v>6.7000000000000002E-3</v>
      </c>
      <c r="F23">
        <v>5.1900000000000002E-2</v>
      </c>
      <c r="G23">
        <v>0.1091</v>
      </c>
      <c r="H23">
        <v>625</v>
      </c>
      <c r="I23">
        <v>500</v>
      </c>
      <c r="J23">
        <v>-360</v>
      </c>
      <c r="K23">
        <v>360</v>
      </c>
      <c r="L23">
        <v>1</v>
      </c>
      <c r="M23">
        <v>1E-4</v>
      </c>
    </row>
    <row r="24" spans="1:13" x14ac:dyDescent="0.3">
      <c r="A24" t="s">
        <v>83</v>
      </c>
      <c r="B24">
        <v>16</v>
      </c>
      <c r="C24">
        <v>17</v>
      </c>
      <c r="D24">
        <v>1</v>
      </c>
      <c r="E24">
        <v>3.3E-3</v>
      </c>
      <c r="F24">
        <v>2.5899999999999999E-2</v>
      </c>
      <c r="G24">
        <v>5.45E-2</v>
      </c>
      <c r="H24">
        <v>625</v>
      </c>
      <c r="I24">
        <v>500</v>
      </c>
      <c r="J24">
        <v>-360</v>
      </c>
      <c r="K24">
        <v>360</v>
      </c>
      <c r="L24">
        <v>1</v>
      </c>
      <c r="M24">
        <v>1E-4</v>
      </c>
    </row>
    <row r="25" spans="1:13" x14ac:dyDescent="0.3">
      <c r="A25" t="s">
        <v>84</v>
      </c>
      <c r="B25">
        <v>16</v>
      </c>
      <c r="C25">
        <v>19</v>
      </c>
      <c r="D25">
        <v>1</v>
      </c>
      <c r="E25">
        <v>3.0000000000000001E-3</v>
      </c>
      <c r="F25">
        <v>2.3099999999999999E-2</v>
      </c>
      <c r="G25">
        <v>4.8500000000000001E-2</v>
      </c>
      <c r="H25">
        <v>625</v>
      </c>
      <c r="I25">
        <v>500</v>
      </c>
      <c r="J25">
        <v>-360</v>
      </c>
      <c r="K25">
        <v>360</v>
      </c>
      <c r="L25">
        <v>1</v>
      </c>
      <c r="M25">
        <v>1E-4</v>
      </c>
    </row>
    <row r="26" spans="1:13" x14ac:dyDescent="0.3">
      <c r="A26" t="s">
        <v>85</v>
      </c>
      <c r="B26">
        <v>17</v>
      </c>
      <c r="C26">
        <v>18</v>
      </c>
      <c r="D26">
        <v>1</v>
      </c>
      <c r="E26">
        <v>1.8E-3</v>
      </c>
      <c r="F26">
        <v>1.44E-2</v>
      </c>
      <c r="G26">
        <v>3.0300000000000001E-2</v>
      </c>
      <c r="H26">
        <v>625</v>
      </c>
      <c r="I26">
        <v>500</v>
      </c>
      <c r="J26">
        <v>-360</v>
      </c>
      <c r="K26">
        <v>360</v>
      </c>
      <c r="L26">
        <v>1</v>
      </c>
      <c r="M26">
        <v>1E-4</v>
      </c>
    </row>
    <row r="27" spans="1:13" x14ac:dyDescent="0.3">
      <c r="A27" t="s">
        <v>86</v>
      </c>
      <c r="B27">
        <v>17</v>
      </c>
      <c r="C27">
        <v>22</v>
      </c>
      <c r="D27">
        <v>1</v>
      </c>
      <c r="E27">
        <v>1.35E-2</v>
      </c>
      <c r="F27">
        <v>0.1053</v>
      </c>
      <c r="G27">
        <v>0.22120000000000001</v>
      </c>
      <c r="H27">
        <v>625</v>
      </c>
      <c r="I27">
        <v>500</v>
      </c>
      <c r="J27">
        <v>-360</v>
      </c>
      <c r="K27">
        <v>360</v>
      </c>
      <c r="L27">
        <v>1</v>
      </c>
      <c r="M27">
        <v>1E-4</v>
      </c>
    </row>
    <row r="28" spans="1:13" x14ac:dyDescent="0.3">
      <c r="A28" t="s">
        <v>87</v>
      </c>
      <c r="B28">
        <v>18</v>
      </c>
      <c r="C28">
        <v>21</v>
      </c>
      <c r="D28">
        <v>1</v>
      </c>
      <c r="E28">
        <v>3.3E-3</v>
      </c>
      <c r="F28">
        <v>2.5899999999999999E-2</v>
      </c>
      <c r="G28">
        <v>5.45E-2</v>
      </c>
      <c r="H28">
        <v>625</v>
      </c>
      <c r="I28">
        <v>500</v>
      </c>
      <c r="J28">
        <v>-360</v>
      </c>
      <c r="K28">
        <v>360</v>
      </c>
      <c r="L28">
        <v>1</v>
      </c>
      <c r="M28">
        <v>1E-4</v>
      </c>
    </row>
    <row r="29" spans="1:13" x14ac:dyDescent="0.3">
      <c r="A29" t="s">
        <v>88</v>
      </c>
      <c r="B29">
        <v>18</v>
      </c>
      <c r="C29">
        <v>21</v>
      </c>
      <c r="D29">
        <v>1</v>
      </c>
      <c r="E29">
        <v>3.3E-3</v>
      </c>
      <c r="F29">
        <v>2.5899999999999999E-2</v>
      </c>
      <c r="G29">
        <v>5.45E-2</v>
      </c>
      <c r="H29">
        <v>625</v>
      </c>
      <c r="I29">
        <v>500</v>
      </c>
      <c r="J29">
        <v>-360</v>
      </c>
      <c r="K29">
        <v>360</v>
      </c>
      <c r="L29">
        <v>1</v>
      </c>
      <c r="M29">
        <v>1E-4</v>
      </c>
    </row>
    <row r="30" spans="1:13" x14ac:dyDescent="0.3">
      <c r="A30" t="s">
        <v>89</v>
      </c>
      <c r="B30">
        <v>19</v>
      </c>
      <c r="C30">
        <v>20</v>
      </c>
      <c r="D30">
        <v>1</v>
      </c>
      <c r="E30">
        <v>5.1000000000000004E-3</v>
      </c>
      <c r="F30">
        <v>3.9600000000000003E-2</v>
      </c>
      <c r="G30">
        <v>8.3299999999999999E-2</v>
      </c>
      <c r="H30">
        <v>625</v>
      </c>
      <c r="I30">
        <v>500</v>
      </c>
      <c r="J30">
        <v>-360</v>
      </c>
      <c r="K30">
        <v>360</v>
      </c>
      <c r="L30">
        <v>1</v>
      </c>
      <c r="M30">
        <v>1E-4</v>
      </c>
    </row>
    <row r="31" spans="1:13" x14ac:dyDescent="0.3">
      <c r="A31" t="s">
        <v>90</v>
      </c>
      <c r="B31">
        <v>19</v>
      </c>
      <c r="C31">
        <v>20</v>
      </c>
      <c r="D31">
        <v>1</v>
      </c>
      <c r="E31">
        <v>5.1000000000000004E-3</v>
      </c>
      <c r="F31">
        <v>3.9600000000000003E-2</v>
      </c>
      <c r="G31">
        <v>8.3299999999999999E-2</v>
      </c>
      <c r="H31">
        <v>625</v>
      </c>
      <c r="I31">
        <v>500</v>
      </c>
      <c r="J31">
        <v>-360</v>
      </c>
      <c r="K31">
        <v>360</v>
      </c>
      <c r="L31">
        <v>1</v>
      </c>
      <c r="M31">
        <v>1E-4</v>
      </c>
    </row>
    <row r="32" spans="1:13" x14ac:dyDescent="0.3">
      <c r="A32" t="s">
        <v>91</v>
      </c>
      <c r="B32">
        <v>20</v>
      </c>
      <c r="C32">
        <v>23</v>
      </c>
      <c r="D32">
        <v>1</v>
      </c>
      <c r="E32">
        <v>2.8E-3</v>
      </c>
      <c r="F32">
        <v>2.1600000000000001E-2</v>
      </c>
      <c r="G32">
        <v>4.5499999999999999E-2</v>
      </c>
      <c r="H32">
        <v>625</v>
      </c>
      <c r="I32">
        <v>500</v>
      </c>
      <c r="J32">
        <v>-360</v>
      </c>
      <c r="K32">
        <v>360</v>
      </c>
      <c r="L32">
        <v>1</v>
      </c>
      <c r="M32">
        <v>1E-4</v>
      </c>
    </row>
    <row r="33" spans="1:13" x14ac:dyDescent="0.3">
      <c r="A33" t="s">
        <v>92</v>
      </c>
      <c r="B33">
        <v>20</v>
      </c>
      <c r="C33">
        <v>23</v>
      </c>
      <c r="D33">
        <v>1</v>
      </c>
      <c r="E33">
        <v>2.8E-3</v>
      </c>
      <c r="F33">
        <v>2.1600000000000001E-2</v>
      </c>
      <c r="G33">
        <v>4.5499999999999999E-2</v>
      </c>
      <c r="H33">
        <v>625</v>
      </c>
      <c r="I33">
        <v>500</v>
      </c>
      <c r="J33">
        <v>-360</v>
      </c>
      <c r="K33">
        <v>360</v>
      </c>
      <c r="L33">
        <v>1</v>
      </c>
      <c r="M33">
        <v>1E-4</v>
      </c>
    </row>
    <row r="34" spans="1:13" x14ac:dyDescent="0.3">
      <c r="A34" t="s">
        <v>93</v>
      </c>
      <c r="B34">
        <v>21</v>
      </c>
      <c r="C34">
        <v>22</v>
      </c>
      <c r="D34">
        <v>1</v>
      </c>
      <c r="E34">
        <v>8.6999999999999994E-3</v>
      </c>
      <c r="F34">
        <v>6.7799999999999999E-2</v>
      </c>
      <c r="G34">
        <v>0.1424</v>
      </c>
      <c r="H34">
        <v>625</v>
      </c>
      <c r="I34">
        <v>500</v>
      </c>
      <c r="J34">
        <v>-360</v>
      </c>
      <c r="K34">
        <v>360</v>
      </c>
      <c r="L34">
        <v>1</v>
      </c>
      <c r="M34">
        <v>1E-4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workbookViewId="0"/>
  </sheetViews>
  <sheetFormatPr defaultRowHeight="13.5" x14ac:dyDescent="0.3"/>
  <sheetData>
    <row r="1" spans="1:17" x14ac:dyDescent="0.3">
      <c r="A1" s="1" t="s">
        <v>0</v>
      </c>
      <c r="B1" s="1" t="s">
        <v>50</v>
      </c>
      <c r="C1" s="1" t="s">
        <v>51</v>
      </c>
      <c r="D1" s="1" t="s">
        <v>31</v>
      </c>
      <c r="E1" s="1" t="s">
        <v>2</v>
      </c>
      <c r="F1" s="1" t="s">
        <v>52</v>
      </c>
      <c r="G1" s="1" t="s">
        <v>53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59</v>
      </c>
      <c r="Q1" s="1" t="s">
        <v>60</v>
      </c>
    </row>
    <row r="2" spans="1:17" x14ac:dyDescent="0.3">
      <c r="A2" t="s">
        <v>98</v>
      </c>
      <c r="B2" t="s">
        <v>12</v>
      </c>
      <c r="C2" t="s">
        <v>27</v>
      </c>
      <c r="D2">
        <v>1</v>
      </c>
      <c r="E2">
        <v>1</v>
      </c>
      <c r="F2">
        <v>2.3E-3</v>
      </c>
      <c r="G2">
        <v>8.3900000000000002E-2</v>
      </c>
      <c r="H2">
        <v>600</v>
      </c>
      <c r="I2">
        <v>400</v>
      </c>
      <c r="J2">
        <v>-360</v>
      </c>
      <c r="K2">
        <v>360</v>
      </c>
      <c r="L2">
        <v>0</v>
      </c>
      <c r="M2">
        <v>1.03</v>
      </c>
      <c r="N2">
        <v>0.97849999999999993</v>
      </c>
      <c r="O2">
        <v>1.0814999999999999</v>
      </c>
      <c r="P2">
        <v>1</v>
      </c>
      <c r="Q2">
        <v>1E-4</v>
      </c>
    </row>
    <row r="3" spans="1:17" x14ac:dyDescent="0.3">
      <c r="A3" t="s">
        <v>99</v>
      </c>
      <c r="B3" t="s">
        <v>15</v>
      </c>
      <c r="C3" t="s">
        <v>17</v>
      </c>
      <c r="D3">
        <v>1</v>
      </c>
      <c r="E3">
        <v>1</v>
      </c>
      <c r="F3">
        <v>2.3E-3</v>
      </c>
      <c r="G3">
        <v>8.3900000000000002E-2</v>
      </c>
      <c r="H3">
        <v>600</v>
      </c>
      <c r="I3">
        <v>400</v>
      </c>
      <c r="J3">
        <v>-360</v>
      </c>
      <c r="K3">
        <v>360</v>
      </c>
      <c r="L3">
        <v>0</v>
      </c>
      <c r="M3">
        <v>1.03</v>
      </c>
      <c r="N3">
        <v>0.97849999999999993</v>
      </c>
      <c r="O3">
        <v>1.0814999999999999</v>
      </c>
      <c r="P3">
        <v>1</v>
      </c>
      <c r="Q3">
        <v>1E-4</v>
      </c>
    </row>
    <row r="4" spans="1:17" x14ac:dyDescent="0.3">
      <c r="A4" t="s">
        <v>100</v>
      </c>
      <c r="B4" t="s">
        <v>15</v>
      </c>
      <c r="C4" t="s">
        <v>18</v>
      </c>
      <c r="D4">
        <v>1</v>
      </c>
      <c r="E4">
        <v>1</v>
      </c>
      <c r="F4">
        <v>2.3E-3</v>
      </c>
      <c r="G4">
        <v>8.3900000000000002E-2</v>
      </c>
      <c r="H4">
        <v>600</v>
      </c>
      <c r="I4">
        <v>400</v>
      </c>
      <c r="J4">
        <v>-360</v>
      </c>
      <c r="K4">
        <v>360</v>
      </c>
      <c r="L4">
        <v>0</v>
      </c>
      <c r="M4">
        <v>1.03</v>
      </c>
      <c r="N4">
        <v>0.97849999999999993</v>
      </c>
      <c r="O4">
        <v>1.0814999999999999</v>
      </c>
      <c r="P4">
        <v>1</v>
      </c>
      <c r="Q4">
        <v>1E-4</v>
      </c>
    </row>
    <row r="5" spans="1:17" x14ac:dyDescent="0.3">
      <c r="A5" t="s">
        <v>101</v>
      </c>
      <c r="B5" t="s">
        <v>16</v>
      </c>
      <c r="C5" t="s">
        <v>17</v>
      </c>
      <c r="D5">
        <v>1</v>
      </c>
      <c r="E5">
        <v>1</v>
      </c>
      <c r="F5">
        <v>2.3E-3</v>
      </c>
      <c r="G5">
        <v>8.3900000000000002E-2</v>
      </c>
      <c r="H5">
        <v>600</v>
      </c>
      <c r="I5">
        <v>400</v>
      </c>
      <c r="J5">
        <v>-360</v>
      </c>
      <c r="K5">
        <v>360</v>
      </c>
      <c r="L5">
        <v>0</v>
      </c>
      <c r="M5">
        <v>1.02</v>
      </c>
      <c r="N5">
        <v>0.96899999999999997</v>
      </c>
      <c r="O5">
        <v>1.071</v>
      </c>
      <c r="P5">
        <v>1</v>
      </c>
      <c r="Q5">
        <v>1E-4</v>
      </c>
    </row>
    <row r="6" spans="1:17" x14ac:dyDescent="0.3">
      <c r="A6" t="s">
        <v>102</v>
      </c>
      <c r="B6" t="s">
        <v>16</v>
      </c>
      <c r="C6" t="s">
        <v>18</v>
      </c>
      <c r="D6">
        <v>1</v>
      </c>
      <c r="E6">
        <v>1</v>
      </c>
      <c r="F6">
        <v>2.3E-3</v>
      </c>
      <c r="G6">
        <v>8.3900000000000002E-2</v>
      </c>
      <c r="H6">
        <v>600</v>
      </c>
      <c r="I6">
        <v>400</v>
      </c>
      <c r="J6">
        <v>-360</v>
      </c>
      <c r="K6">
        <v>360</v>
      </c>
      <c r="L6">
        <v>0</v>
      </c>
      <c r="M6">
        <v>1.02</v>
      </c>
      <c r="N6">
        <v>0.96899999999999997</v>
      </c>
      <c r="O6">
        <v>1.071</v>
      </c>
      <c r="P6">
        <v>1</v>
      </c>
      <c r="Q6">
        <v>1E-4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7"/>
  <sheetViews>
    <sheetView workbookViewId="0">
      <selection activeCell="O16" sqref="O16"/>
    </sheetView>
  </sheetViews>
  <sheetFormatPr defaultRowHeight="13.5" x14ac:dyDescent="0.3"/>
  <cols>
    <col min="14" max="14" width="9.46484375" customWidth="1"/>
    <col min="15" max="15" width="14.46484375" bestFit="1" customWidth="1"/>
    <col min="17" max="17" width="14.1328125" bestFit="1" customWidth="1"/>
    <col min="18" max="18" width="11.86328125" bestFit="1" customWidth="1"/>
  </cols>
  <sheetData>
    <row r="1" spans="1:19" x14ac:dyDescent="0.3">
      <c r="A1" s="1" t="s">
        <v>28</v>
      </c>
      <c r="B1" s="1" t="s">
        <v>0</v>
      </c>
      <c r="C1" s="1" t="s">
        <v>31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59</v>
      </c>
      <c r="L1" s="1" t="s">
        <v>60</v>
      </c>
      <c r="M1" s="1" t="s">
        <v>110</v>
      </c>
      <c r="N1" s="1" t="s">
        <v>111</v>
      </c>
      <c r="O1" s="1" t="s">
        <v>188</v>
      </c>
      <c r="P1" s="4" t="s">
        <v>189</v>
      </c>
      <c r="Q1" s="4" t="s">
        <v>175</v>
      </c>
      <c r="R1" s="4" t="s">
        <v>179</v>
      </c>
      <c r="S1" s="4" t="s">
        <v>180</v>
      </c>
    </row>
    <row r="2" spans="1:19" ht="13.9" x14ac:dyDescent="0.3">
      <c r="A2" s="2">
        <v>3</v>
      </c>
      <c r="B2" s="2" t="s">
        <v>166</v>
      </c>
      <c r="C2" s="2">
        <v>1</v>
      </c>
      <c r="D2" s="2">
        <v>0</v>
      </c>
      <c r="E2" s="2">
        <v>0</v>
      </c>
      <c r="F2" s="2">
        <v>0</v>
      </c>
      <c r="G2" s="2">
        <v>200</v>
      </c>
      <c r="H2" s="2">
        <v>76</v>
      </c>
      <c r="I2" s="2">
        <v>-25</v>
      </c>
      <c r="J2" s="2">
        <v>30</v>
      </c>
      <c r="K2" s="2">
        <v>0</v>
      </c>
      <c r="L2" s="2">
        <v>0</v>
      </c>
      <c r="M2" s="2">
        <v>0</v>
      </c>
      <c r="N2" s="2">
        <f>O2+P2</f>
        <v>30.06</v>
      </c>
      <c r="O2" s="2">
        <v>30</v>
      </c>
      <c r="P2" s="2">
        <f>$R$3*0.001*ROW()</f>
        <v>0.06</v>
      </c>
      <c r="Q2" s="5" t="s">
        <v>186</v>
      </c>
      <c r="R2" s="12">
        <f>ROWS(_xlfn.UNIQUE(N2:N7))</f>
        <v>6</v>
      </c>
      <c r="S2" s="12">
        <f>ROWS(N2:N7)</f>
        <v>6</v>
      </c>
    </row>
    <row r="3" spans="1:19" ht="13.9" x14ac:dyDescent="0.3">
      <c r="A3" s="2">
        <v>5</v>
      </c>
      <c r="B3" s="2" t="s">
        <v>167</v>
      </c>
      <c r="C3" s="2">
        <v>1</v>
      </c>
      <c r="D3" s="2">
        <v>0</v>
      </c>
      <c r="E3" s="2">
        <v>0</v>
      </c>
      <c r="F3" s="2">
        <v>0</v>
      </c>
      <c r="G3" s="2">
        <v>200</v>
      </c>
      <c r="H3" s="2">
        <v>76</v>
      </c>
      <c r="I3" s="2">
        <v>-25</v>
      </c>
      <c r="J3" s="2">
        <v>30</v>
      </c>
      <c r="K3" s="2">
        <v>0</v>
      </c>
      <c r="L3" s="2">
        <v>0</v>
      </c>
      <c r="M3" s="2">
        <v>0</v>
      </c>
      <c r="N3" s="2">
        <f t="shared" ref="N3:N7" si="0">O3+P3</f>
        <v>30.09</v>
      </c>
      <c r="O3" s="2">
        <v>30</v>
      </c>
      <c r="P3" s="2">
        <f t="shared" ref="P3:P7" si="1">$R$3*0.001*ROW()</f>
        <v>0.09</v>
      </c>
      <c r="Q3" s="7" t="s">
        <v>187</v>
      </c>
      <c r="R3" s="11">
        <f>_xlfn.MINIFS(O2:O7,O2:O7, "&lt;&gt;0")</f>
        <v>30</v>
      </c>
    </row>
    <row r="4" spans="1:19" x14ac:dyDescent="0.3">
      <c r="A4" s="2">
        <v>7</v>
      </c>
      <c r="B4" s="2" t="s">
        <v>168</v>
      </c>
      <c r="C4" s="2">
        <v>1</v>
      </c>
      <c r="D4" s="2">
        <v>0</v>
      </c>
      <c r="E4" s="2">
        <v>0</v>
      </c>
      <c r="F4" s="2">
        <v>0</v>
      </c>
      <c r="G4" s="2">
        <v>200</v>
      </c>
      <c r="H4" s="2">
        <v>76</v>
      </c>
      <c r="I4" s="2">
        <v>-25</v>
      </c>
      <c r="J4" s="2">
        <v>30</v>
      </c>
      <c r="K4" s="2">
        <v>0</v>
      </c>
      <c r="L4" s="2">
        <v>0</v>
      </c>
      <c r="M4" s="2">
        <v>0</v>
      </c>
      <c r="N4" s="2">
        <f t="shared" si="0"/>
        <v>30.12</v>
      </c>
      <c r="O4" s="2">
        <v>30</v>
      </c>
      <c r="P4" s="2">
        <f t="shared" si="1"/>
        <v>0.12</v>
      </c>
    </row>
    <row r="5" spans="1:19" x14ac:dyDescent="0.3">
      <c r="A5" s="2">
        <v>16</v>
      </c>
      <c r="B5" s="2" t="s">
        <v>169</v>
      </c>
      <c r="C5" s="2">
        <v>1</v>
      </c>
      <c r="D5" s="2">
        <v>0</v>
      </c>
      <c r="E5" s="2">
        <v>0</v>
      </c>
      <c r="F5" s="2">
        <v>0</v>
      </c>
      <c r="G5" s="2">
        <v>200</v>
      </c>
      <c r="H5" s="2">
        <v>76</v>
      </c>
      <c r="I5" s="2">
        <v>-25</v>
      </c>
      <c r="J5" s="2">
        <v>30</v>
      </c>
      <c r="K5" s="2">
        <v>0</v>
      </c>
      <c r="L5" s="2">
        <v>0</v>
      </c>
      <c r="M5" s="2">
        <v>0</v>
      </c>
      <c r="N5" s="2">
        <f t="shared" si="0"/>
        <v>30.15</v>
      </c>
      <c r="O5" s="2">
        <v>30</v>
      </c>
      <c r="P5" s="2">
        <f t="shared" si="1"/>
        <v>0.15</v>
      </c>
    </row>
    <row r="6" spans="1:19" x14ac:dyDescent="0.3">
      <c r="A6" s="2">
        <v>21</v>
      </c>
      <c r="B6" s="2" t="s">
        <v>170</v>
      </c>
      <c r="C6" s="2">
        <v>1</v>
      </c>
      <c r="D6" s="2">
        <v>0</v>
      </c>
      <c r="E6" s="2">
        <v>0</v>
      </c>
      <c r="F6" s="2">
        <v>0</v>
      </c>
      <c r="G6" s="2">
        <v>200</v>
      </c>
      <c r="H6" s="2">
        <v>76</v>
      </c>
      <c r="I6" s="2">
        <v>-25</v>
      </c>
      <c r="J6" s="2">
        <v>30</v>
      </c>
      <c r="K6" s="2">
        <v>0</v>
      </c>
      <c r="L6" s="2">
        <v>0</v>
      </c>
      <c r="M6" s="2">
        <v>0</v>
      </c>
      <c r="N6" s="2">
        <f t="shared" si="0"/>
        <v>30.18</v>
      </c>
      <c r="O6" s="2">
        <v>30</v>
      </c>
      <c r="P6" s="2">
        <f t="shared" si="1"/>
        <v>0.18</v>
      </c>
    </row>
    <row r="7" spans="1:19" x14ac:dyDescent="0.3">
      <c r="A7" s="2">
        <v>23</v>
      </c>
      <c r="B7" s="2" t="s">
        <v>171</v>
      </c>
      <c r="C7" s="2">
        <v>1</v>
      </c>
      <c r="D7" s="2">
        <v>0</v>
      </c>
      <c r="E7" s="2">
        <v>0</v>
      </c>
      <c r="F7" s="2">
        <v>0</v>
      </c>
      <c r="G7" s="2">
        <v>200</v>
      </c>
      <c r="H7" s="2">
        <v>76</v>
      </c>
      <c r="I7" s="2">
        <v>-25</v>
      </c>
      <c r="J7" s="2">
        <v>30</v>
      </c>
      <c r="K7" s="2">
        <v>0</v>
      </c>
      <c r="L7" s="2">
        <v>0</v>
      </c>
      <c r="M7" s="2">
        <v>0</v>
      </c>
      <c r="N7" s="2">
        <f t="shared" si="0"/>
        <v>30.21</v>
      </c>
      <c r="O7" s="2">
        <v>30</v>
      </c>
      <c r="P7" s="2">
        <f t="shared" si="1"/>
        <v>0.21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defaultRowHeight="13.5" x14ac:dyDescent="0.3"/>
  <sheetData>
    <row r="1" spans="1:5" x14ac:dyDescent="0.3">
      <c r="A1" s="1" t="s">
        <v>28</v>
      </c>
      <c r="B1" s="1" t="s">
        <v>0</v>
      </c>
      <c r="C1" s="1" t="s">
        <v>112</v>
      </c>
      <c r="D1" s="1" t="s">
        <v>113</v>
      </c>
      <c r="E1" s="1" t="s">
        <v>31</v>
      </c>
    </row>
    <row r="2" spans="1:5" x14ac:dyDescent="0.3">
      <c r="A2" t="s">
        <v>13</v>
      </c>
      <c r="B2" t="s">
        <v>114</v>
      </c>
      <c r="C2">
        <v>0</v>
      </c>
      <c r="D2">
        <v>-100</v>
      </c>
      <c r="E2">
        <v>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3.5" x14ac:dyDescent="0.3"/>
  <sheetData>
    <row r="1" spans="1:2" x14ac:dyDescent="0.3">
      <c r="A1" s="1" t="s">
        <v>3</v>
      </c>
      <c r="B1" s="1" t="s">
        <v>115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defaultRowHeight="13.5" x14ac:dyDescent="0.3"/>
  <sheetData>
    <row r="1" spans="1:5" x14ac:dyDescent="0.3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34"/>
  <sheetViews>
    <sheetView topLeftCell="K1" workbookViewId="0">
      <selection activeCell="AE33" sqref="AE33"/>
    </sheetView>
  </sheetViews>
  <sheetFormatPr defaultRowHeight="13.5" x14ac:dyDescent="0.3"/>
  <cols>
    <col min="22" max="22" width="14.33203125" bestFit="1" customWidth="1"/>
    <col min="23" max="23" width="14.33203125" customWidth="1"/>
    <col min="26" max="28" width="11.86328125" bestFit="1" customWidth="1"/>
    <col min="29" max="29" width="12.796875" customWidth="1"/>
    <col min="30" max="30" width="11.6640625" customWidth="1"/>
    <col min="31" max="31" width="18.59765625" bestFit="1" customWidth="1"/>
    <col min="32" max="32" width="11.33203125" customWidth="1"/>
    <col min="33" max="33" width="10.265625" customWidth="1"/>
  </cols>
  <sheetData>
    <row r="1" spans="1:33" x14ac:dyDescent="0.3">
      <c r="A1" s="1" t="s">
        <v>28</v>
      </c>
      <c r="B1" s="1" t="s">
        <v>0</v>
      </c>
      <c r="C1" s="1" t="s">
        <v>31</v>
      </c>
      <c r="D1" s="1" t="s">
        <v>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59</v>
      </c>
      <c r="R1" s="1" t="s">
        <v>60</v>
      </c>
      <c r="S1" s="1" t="s">
        <v>126</v>
      </c>
      <c r="T1" s="1" t="s">
        <v>127</v>
      </c>
      <c r="U1" s="1" t="s">
        <v>128</v>
      </c>
      <c r="V1" s="3" t="s">
        <v>129</v>
      </c>
      <c r="W1" s="3" t="s">
        <v>130</v>
      </c>
      <c r="X1" s="1" t="s">
        <v>110</v>
      </c>
      <c r="Y1" s="1" t="s">
        <v>111</v>
      </c>
      <c r="Z1" s="3" t="s">
        <v>172</v>
      </c>
      <c r="AA1" s="3" t="s">
        <v>173</v>
      </c>
      <c r="AB1" s="3" t="s">
        <v>174</v>
      </c>
      <c r="AC1" s="4" t="s">
        <v>184</v>
      </c>
      <c r="AD1" s="4" t="s">
        <v>183</v>
      </c>
      <c r="AE1" s="4" t="s">
        <v>175</v>
      </c>
      <c r="AF1" s="4" t="s">
        <v>179</v>
      </c>
      <c r="AG1" s="4" t="s">
        <v>180</v>
      </c>
    </row>
    <row r="2" spans="1:33" ht="13.9" x14ac:dyDescent="0.3">
      <c r="A2" t="s">
        <v>10</v>
      </c>
      <c r="B2" t="s">
        <v>131</v>
      </c>
      <c r="C2">
        <v>1</v>
      </c>
      <c r="D2">
        <v>1</v>
      </c>
      <c r="E2">
        <v>10</v>
      </c>
      <c r="F2">
        <v>0</v>
      </c>
      <c r="G2">
        <v>16</v>
      </c>
      <c r="H2">
        <v>20</v>
      </c>
      <c r="I2">
        <v>0</v>
      </c>
      <c r="J2">
        <v>10</v>
      </c>
      <c r="K2">
        <v>1.0349999999999999</v>
      </c>
      <c r="L2">
        <v>0</v>
      </c>
      <c r="M2">
        <v>0</v>
      </c>
      <c r="N2">
        <v>1</v>
      </c>
      <c r="O2">
        <v>1</v>
      </c>
      <c r="P2" t="s">
        <v>164</v>
      </c>
      <c r="Q2">
        <v>0</v>
      </c>
      <c r="R2">
        <v>1E-4</v>
      </c>
      <c r="S2">
        <v>1500</v>
      </c>
      <c r="T2">
        <v>0</v>
      </c>
      <c r="U2">
        <v>0</v>
      </c>
      <c r="V2" s="9">
        <f>ROUND(AA2+AD2,6)</f>
        <v>130.00001</v>
      </c>
      <c r="W2" s="9">
        <f>AB2+AD2</f>
        <v>400.68491</v>
      </c>
      <c r="X2">
        <v>44</v>
      </c>
      <c r="Y2">
        <v>88</v>
      </c>
      <c r="Z2">
        <v>0</v>
      </c>
      <c r="AA2">
        <v>130</v>
      </c>
      <c r="AB2">
        <v>400.68490000000003</v>
      </c>
      <c r="AC2">
        <f ca="1">(RAND()-0.5)*$AF$8*0.01</f>
        <v>-2.8746779330854598E-6</v>
      </c>
      <c r="AD2" s="10">
        <f>$AF$8*0.01*(ROW()-1)</f>
        <v>1.0000000000000001E-5</v>
      </c>
      <c r="AE2" s="5" t="s">
        <v>177</v>
      </c>
      <c r="AF2" s="6">
        <f>ROWS(_xlfn.UNIQUE(W2:W34))</f>
        <v>33</v>
      </c>
      <c r="AG2" s="6">
        <f>ROWS(W2:W34)</f>
        <v>33</v>
      </c>
    </row>
    <row r="3" spans="1:33" ht="13.9" x14ac:dyDescent="0.3">
      <c r="A3" t="s">
        <v>10</v>
      </c>
      <c r="B3" t="s">
        <v>132</v>
      </c>
      <c r="C3">
        <v>1</v>
      </c>
      <c r="D3">
        <v>1</v>
      </c>
      <c r="E3">
        <v>10</v>
      </c>
      <c r="F3">
        <v>0</v>
      </c>
      <c r="G3">
        <v>16</v>
      </c>
      <c r="H3">
        <v>20</v>
      </c>
      <c r="I3">
        <v>0</v>
      </c>
      <c r="J3">
        <v>10</v>
      </c>
      <c r="K3">
        <v>1.0349999999999999</v>
      </c>
      <c r="L3">
        <v>0</v>
      </c>
      <c r="M3">
        <v>0</v>
      </c>
      <c r="N3">
        <v>1</v>
      </c>
      <c r="O3">
        <v>1</v>
      </c>
      <c r="P3" t="s">
        <v>164</v>
      </c>
      <c r="Q3">
        <v>0</v>
      </c>
      <c r="R3">
        <v>1E-4</v>
      </c>
      <c r="S3">
        <v>1500</v>
      </c>
      <c r="T3">
        <v>0</v>
      </c>
      <c r="U3">
        <v>0</v>
      </c>
      <c r="V3" s="9">
        <f t="shared" ref="V3:V34" si="0">ROUND(AA3+AD3,6)</f>
        <v>130.00002000000001</v>
      </c>
      <c r="W3" s="9">
        <f t="shared" ref="W3:W34" si="1">AB3+AD3</f>
        <v>400.68492000000003</v>
      </c>
      <c r="X3">
        <v>44</v>
      </c>
      <c r="Y3">
        <v>88</v>
      </c>
      <c r="Z3">
        <v>0</v>
      </c>
      <c r="AA3">
        <v>130</v>
      </c>
      <c r="AB3">
        <v>400.68490000000003</v>
      </c>
      <c r="AC3">
        <f t="shared" ref="AC3:AC34" ca="1" si="2">(RAND()-0.5)*$AF$8*0.01</f>
        <v>-2.0216296329477733E-6</v>
      </c>
      <c r="AD3" s="10">
        <f t="shared" ref="AD3:AD34" si="3">$AF$8*0.01*(ROW()-1)</f>
        <v>2.0000000000000002E-5</v>
      </c>
      <c r="AE3" s="5" t="s">
        <v>176</v>
      </c>
      <c r="AF3" s="6">
        <f>ROWS(_xlfn.UNIQUE(V2:V34))</f>
        <v>33</v>
      </c>
      <c r="AG3">
        <f>ROWS(V2:V34)</f>
        <v>33</v>
      </c>
    </row>
    <row r="4" spans="1:33" ht="13.9" x14ac:dyDescent="0.3">
      <c r="A4" t="s">
        <v>10</v>
      </c>
      <c r="B4" t="s">
        <v>133</v>
      </c>
      <c r="C4">
        <v>1</v>
      </c>
      <c r="D4">
        <v>1</v>
      </c>
      <c r="E4">
        <v>76</v>
      </c>
      <c r="F4">
        <v>0</v>
      </c>
      <c r="G4">
        <v>15.2</v>
      </c>
      <c r="H4">
        <v>76</v>
      </c>
      <c r="I4">
        <v>-25</v>
      </c>
      <c r="J4">
        <v>30</v>
      </c>
      <c r="K4">
        <v>1.0349999999999999</v>
      </c>
      <c r="L4">
        <v>0</v>
      </c>
      <c r="M4">
        <v>0</v>
      </c>
      <c r="N4">
        <v>1</v>
      </c>
      <c r="O4">
        <v>1</v>
      </c>
      <c r="P4" t="s">
        <v>164</v>
      </c>
      <c r="Q4">
        <v>0</v>
      </c>
      <c r="R4">
        <v>1E-4</v>
      </c>
      <c r="S4">
        <v>1500</v>
      </c>
      <c r="T4">
        <v>0</v>
      </c>
      <c r="U4">
        <v>0</v>
      </c>
      <c r="V4" s="9">
        <f t="shared" si="0"/>
        <v>16.081130000000002</v>
      </c>
      <c r="W4" s="9">
        <f t="shared" si="1"/>
        <v>212.30763000000002</v>
      </c>
      <c r="X4">
        <v>44</v>
      </c>
      <c r="Y4">
        <v>88</v>
      </c>
      <c r="Z4">
        <v>1.4142E-2</v>
      </c>
      <c r="AA4">
        <v>16.081099999999999</v>
      </c>
      <c r="AB4">
        <v>212.30760000000001</v>
      </c>
      <c r="AC4">
        <f t="shared" ca="1" si="2"/>
        <v>-2.5823878838408215E-6</v>
      </c>
      <c r="AD4" s="10">
        <f t="shared" si="3"/>
        <v>3.0000000000000004E-5</v>
      </c>
      <c r="AE4" s="5" t="s">
        <v>178</v>
      </c>
      <c r="AF4">
        <f>ROWS(_xlfn.UNIQUE(U2:U34))</f>
        <v>1</v>
      </c>
      <c r="AG4">
        <f>ROWS((V2:V34))</f>
        <v>33</v>
      </c>
    </row>
    <row r="5" spans="1:33" ht="13.9" x14ac:dyDescent="0.3">
      <c r="A5" t="s">
        <v>10</v>
      </c>
      <c r="B5" t="s">
        <v>134</v>
      </c>
      <c r="C5">
        <v>1</v>
      </c>
      <c r="D5">
        <v>1</v>
      </c>
      <c r="E5">
        <v>76</v>
      </c>
      <c r="F5">
        <v>0</v>
      </c>
      <c r="G5">
        <v>15.2</v>
      </c>
      <c r="H5">
        <v>76</v>
      </c>
      <c r="I5">
        <v>-25</v>
      </c>
      <c r="J5">
        <v>30</v>
      </c>
      <c r="K5">
        <v>1.0349999999999999</v>
      </c>
      <c r="L5">
        <v>0</v>
      </c>
      <c r="M5">
        <v>0</v>
      </c>
      <c r="N5">
        <v>1</v>
      </c>
      <c r="O5">
        <v>1</v>
      </c>
      <c r="P5" t="s">
        <v>164</v>
      </c>
      <c r="Q5">
        <v>0</v>
      </c>
      <c r="R5">
        <v>1E-4</v>
      </c>
      <c r="S5">
        <v>1500</v>
      </c>
      <c r="T5">
        <v>0</v>
      </c>
      <c r="U5">
        <v>0</v>
      </c>
      <c r="V5" s="9">
        <f t="shared" si="0"/>
        <v>16.081140000000001</v>
      </c>
      <c r="W5" s="9">
        <f t="shared" si="1"/>
        <v>212.30764000000002</v>
      </c>
      <c r="X5">
        <v>44</v>
      </c>
      <c r="Y5">
        <v>88</v>
      </c>
      <c r="Z5">
        <v>1.4142E-2</v>
      </c>
      <c r="AA5">
        <v>16.081099999999999</v>
      </c>
      <c r="AB5">
        <v>212.30760000000001</v>
      </c>
      <c r="AC5">
        <f t="shared" ca="1" si="2"/>
        <v>3.5364001934983704E-6</v>
      </c>
      <c r="AD5" s="10">
        <f t="shared" si="3"/>
        <v>4.0000000000000003E-5</v>
      </c>
      <c r="AE5" s="5" t="s">
        <v>174</v>
      </c>
      <c r="AF5">
        <f>ROWS(_xlfn.UNIQUE(AB2:AB34))</f>
        <v>10</v>
      </c>
      <c r="AG5">
        <f>ROWS((AC2:AC34))</f>
        <v>33</v>
      </c>
    </row>
    <row r="6" spans="1:33" ht="13.9" x14ac:dyDescent="0.3">
      <c r="A6" t="s">
        <v>11</v>
      </c>
      <c r="B6" t="s">
        <v>135</v>
      </c>
      <c r="C6">
        <v>1</v>
      </c>
      <c r="D6">
        <v>1</v>
      </c>
      <c r="E6">
        <v>10</v>
      </c>
      <c r="F6">
        <v>0</v>
      </c>
      <c r="G6">
        <v>16</v>
      </c>
      <c r="H6">
        <v>20</v>
      </c>
      <c r="I6">
        <v>0</v>
      </c>
      <c r="J6">
        <v>10</v>
      </c>
      <c r="K6">
        <v>1.0349999999999999</v>
      </c>
      <c r="L6">
        <v>0</v>
      </c>
      <c r="M6">
        <v>0</v>
      </c>
      <c r="N6">
        <v>1</v>
      </c>
      <c r="O6">
        <v>1</v>
      </c>
      <c r="P6" t="s">
        <v>164</v>
      </c>
      <c r="Q6">
        <v>0</v>
      </c>
      <c r="R6">
        <v>1E-4</v>
      </c>
      <c r="S6">
        <v>1500</v>
      </c>
      <c r="T6">
        <v>0</v>
      </c>
      <c r="U6">
        <v>0</v>
      </c>
      <c r="V6" s="9">
        <f t="shared" si="0"/>
        <v>130.00004999999999</v>
      </c>
      <c r="W6" s="9">
        <f t="shared" si="1"/>
        <v>400.68495000000001</v>
      </c>
      <c r="X6">
        <v>44</v>
      </c>
      <c r="Y6">
        <v>88</v>
      </c>
      <c r="Z6">
        <v>0</v>
      </c>
      <c r="AA6">
        <v>130</v>
      </c>
      <c r="AB6">
        <v>400.68490000000003</v>
      </c>
      <c r="AC6">
        <f t="shared" ca="1" si="2"/>
        <v>-4.0364148813435219E-6</v>
      </c>
      <c r="AD6" s="10">
        <f t="shared" si="3"/>
        <v>5.0000000000000002E-5</v>
      </c>
      <c r="AE6" s="5" t="s">
        <v>181</v>
      </c>
      <c r="AF6">
        <f>ROWS(_xlfn.UNIQUE(AA2:AA34))</f>
        <v>10</v>
      </c>
      <c r="AG6">
        <f>ROWS((AB2:AB34))</f>
        <v>33</v>
      </c>
    </row>
    <row r="7" spans="1:33" ht="13.9" x14ac:dyDescent="0.3">
      <c r="A7" t="s">
        <v>11</v>
      </c>
      <c r="B7" t="s">
        <v>136</v>
      </c>
      <c r="C7">
        <v>1</v>
      </c>
      <c r="D7">
        <v>1</v>
      </c>
      <c r="E7">
        <v>10</v>
      </c>
      <c r="F7">
        <v>0</v>
      </c>
      <c r="G7">
        <v>16</v>
      </c>
      <c r="H7">
        <v>20</v>
      </c>
      <c r="I7">
        <v>0</v>
      </c>
      <c r="J7">
        <v>10</v>
      </c>
      <c r="K7">
        <v>1.0349999999999999</v>
      </c>
      <c r="L7">
        <v>0</v>
      </c>
      <c r="M7">
        <v>0</v>
      </c>
      <c r="N7">
        <v>1</v>
      </c>
      <c r="O7">
        <v>1</v>
      </c>
      <c r="P7" t="s">
        <v>164</v>
      </c>
      <c r="Q7">
        <v>0</v>
      </c>
      <c r="R7">
        <v>1E-4</v>
      </c>
      <c r="S7">
        <v>1500</v>
      </c>
      <c r="T7">
        <v>0</v>
      </c>
      <c r="U7">
        <v>0</v>
      </c>
      <c r="V7" s="9">
        <f t="shared" si="0"/>
        <v>130.00005999999999</v>
      </c>
      <c r="W7" s="9">
        <f t="shared" si="1"/>
        <v>400.68496000000005</v>
      </c>
      <c r="X7">
        <v>44</v>
      </c>
      <c r="Y7">
        <v>88</v>
      </c>
      <c r="Z7">
        <v>0</v>
      </c>
      <c r="AA7">
        <v>130</v>
      </c>
      <c r="AB7">
        <v>400.68490000000003</v>
      </c>
      <c r="AC7">
        <f t="shared" ca="1" si="2"/>
        <v>3.6783905199488665E-6</v>
      </c>
      <c r="AD7" s="10">
        <f t="shared" si="3"/>
        <v>6.0000000000000008E-5</v>
      </c>
      <c r="AE7" s="5" t="s">
        <v>182</v>
      </c>
      <c r="AF7">
        <f>ROWS(_xlfn.UNIQUE(Z2:Z34))</f>
        <v>9</v>
      </c>
      <c r="AG7">
        <f>ROWS((AA2:AA34))</f>
        <v>33</v>
      </c>
    </row>
    <row r="8" spans="1:33" ht="13.9" x14ac:dyDescent="0.3">
      <c r="A8" t="s">
        <v>11</v>
      </c>
      <c r="B8" t="s">
        <v>137</v>
      </c>
      <c r="C8">
        <v>1</v>
      </c>
      <c r="D8">
        <v>1</v>
      </c>
      <c r="E8">
        <v>76</v>
      </c>
      <c r="F8">
        <v>0</v>
      </c>
      <c r="G8">
        <v>15.2</v>
      </c>
      <c r="H8">
        <v>76</v>
      </c>
      <c r="I8">
        <v>-25</v>
      </c>
      <c r="J8">
        <v>30</v>
      </c>
      <c r="K8">
        <v>1.0349999999999999</v>
      </c>
      <c r="L8">
        <v>0</v>
      </c>
      <c r="M8">
        <v>0</v>
      </c>
      <c r="N8">
        <v>1</v>
      </c>
      <c r="O8">
        <v>1</v>
      </c>
      <c r="P8" t="s">
        <v>164</v>
      </c>
      <c r="Q8">
        <v>0</v>
      </c>
      <c r="R8">
        <v>1E-4</v>
      </c>
      <c r="S8">
        <v>1500</v>
      </c>
      <c r="T8">
        <v>0</v>
      </c>
      <c r="U8">
        <v>0</v>
      </c>
      <c r="V8" s="9">
        <f t="shared" si="0"/>
        <v>16.08117</v>
      </c>
      <c r="W8" s="9">
        <f t="shared" si="1"/>
        <v>212.30767</v>
      </c>
      <c r="X8">
        <v>44</v>
      </c>
      <c r="Y8">
        <v>88</v>
      </c>
      <c r="Z8">
        <v>1.4142E-2</v>
      </c>
      <c r="AA8">
        <v>16.081099999999999</v>
      </c>
      <c r="AB8">
        <v>212.30760000000001</v>
      </c>
      <c r="AC8">
        <f t="shared" ca="1" si="2"/>
        <v>2.1787586736169188E-6</v>
      </c>
      <c r="AD8" s="10">
        <f t="shared" si="3"/>
        <v>7.0000000000000007E-5</v>
      </c>
      <c r="AE8" s="7" t="s">
        <v>185</v>
      </c>
      <c r="AF8" s="11">
        <f>_xlfn.MINIFS(AA2:AB34, AA2:AB34, "&lt;&gt;0")</f>
        <v>1E-3</v>
      </c>
    </row>
    <row r="9" spans="1:33" x14ac:dyDescent="0.3">
      <c r="A9" t="s">
        <v>11</v>
      </c>
      <c r="B9" t="s">
        <v>138</v>
      </c>
      <c r="C9">
        <v>1</v>
      </c>
      <c r="D9">
        <v>1</v>
      </c>
      <c r="E9">
        <v>76</v>
      </c>
      <c r="F9">
        <v>0</v>
      </c>
      <c r="G9">
        <v>15.2</v>
      </c>
      <c r="H9">
        <v>76</v>
      </c>
      <c r="I9">
        <v>-25</v>
      </c>
      <c r="J9">
        <v>30</v>
      </c>
      <c r="K9">
        <v>1.0349999999999999</v>
      </c>
      <c r="L9">
        <v>0</v>
      </c>
      <c r="M9">
        <v>0</v>
      </c>
      <c r="N9">
        <v>1</v>
      </c>
      <c r="O9">
        <v>1</v>
      </c>
      <c r="P9" t="s">
        <v>164</v>
      </c>
      <c r="Q9">
        <v>0</v>
      </c>
      <c r="R9">
        <v>1E-4</v>
      </c>
      <c r="S9">
        <v>1500</v>
      </c>
      <c r="T9">
        <v>0</v>
      </c>
      <c r="U9">
        <v>0</v>
      </c>
      <c r="V9" s="9">
        <f t="shared" si="0"/>
        <v>16.08118</v>
      </c>
      <c r="W9" s="9">
        <f t="shared" si="1"/>
        <v>212.30768</v>
      </c>
      <c r="X9">
        <v>44</v>
      </c>
      <c r="Y9">
        <v>88</v>
      </c>
      <c r="Z9">
        <v>1.4142E-2</v>
      </c>
      <c r="AA9">
        <v>16.081099999999999</v>
      </c>
      <c r="AB9">
        <v>212.30760000000001</v>
      </c>
      <c r="AC9">
        <f t="shared" ca="1" si="2"/>
        <v>-3.6905026088673209E-6</v>
      </c>
      <c r="AD9" s="10">
        <f t="shared" si="3"/>
        <v>8.0000000000000007E-5</v>
      </c>
      <c r="AE9" s="4"/>
      <c r="AF9" s="8"/>
    </row>
    <row r="10" spans="1:33" x14ac:dyDescent="0.3">
      <c r="A10" t="s">
        <v>14</v>
      </c>
      <c r="B10" t="s">
        <v>139</v>
      </c>
      <c r="C10">
        <v>1</v>
      </c>
      <c r="D10">
        <v>1</v>
      </c>
      <c r="E10">
        <v>80</v>
      </c>
      <c r="F10">
        <v>0</v>
      </c>
      <c r="G10">
        <v>25</v>
      </c>
      <c r="H10">
        <v>100</v>
      </c>
      <c r="I10">
        <v>0</v>
      </c>
      <c r="J10">
        <v>60</v>
      </c>
      <c r="K10">
        <v>1.0249999999999999</v>
      </c>
      <c r="L10">
        <v>0</v>
      </c>
      <c r="M10">
        <v>0</v>
      </c>
      <c r="N10">
        <v>1</v>
      </c>
      <c r="O10">
        <v>1</v>
      </c>
      <c r="P10" t="s">
        <v>164</v>
      </c>
      <c r="Q10">
        <v>0</v>
      </c>
      <c r="R10">
        <v>1E-4</v>
      </c>
      <c r="S10">
        <v>1500</v>
      </c>
      <c r="T10">
        <v>0</v>
      </c>
      <c r="U10">
        <v>0</v>
      </c>
      <c r="V10" s="9">
        <f t="shared" si="0"/>
        <v>43.661589999999997</v>
      </c>
      <c r="W10" s="9">
        <f t="shared" si="1"/>
        <v>781.52108999999996</v>
      </c>
      <c r="X10">
        <v>44</v>
      </c>
      <c r="Y10">
        <v>88</v>
      </c>
      <c r="Z10">
        <v>5.2671999999999997E-2</v>
      </c>
      <c r="AA10">
        <v>43.661499999999997</v>
      </c>
      <c r="AB10">
        <v>781.52099999999996</v>
      </c>
      <c r="AC10">
        <f t="shared" ca="1" si="2"/>
        <v>2.9324670583930724E-6</v>
      </c>
      <c r="AD10" s="10">
        <f t="shared" si="3"/>
        <v>9.0000000000000006E-5</v>
      </c>
    </row>
    <row r="11" spans="1:33" x14ac:dyDescent="0.3">
      <c r="A11" t="s">
        <v>14</v>
      </c>
      <c r="B11" t="s">
        <v>140</v>
      </c>
      <c r="C11">
        <v>1</v>
      </c>
      <c r="D11">
        <v>1</v>
      </c>
      <c r="E11">
        <v>80</v>
      </c>
      <c r="F11">
        <v>0</v>
      </c>
      <c r="G11">
        <v>25</v>
      </c>
      <c r="H11">
        <v>100</v>
      </c>
      <c r="I11">
        <v>0</v>
      </c>
      <c r="J11">
        <v>60</v>
      </c>
      <c r="K11">
        <v>1.0249999999999999</v>
      </c>
      <c r="L11">
        <v>0</v>
      </c>
      <c r="M11">
        <v>0</v>
      </c>
      <c r="N11">
        <v>1</v>
      </c>
      <c r="O11">
        <v>1</v>
      </c>
      <c r="P11" t="s">
        <v>164</v>
      </c>
      <c r="Q11">
        <v>0</v>
      </c>
      <c r="R11">
        <v>1E-4</v>
      </c>
      <c r="S11">
        <v>1500</v>
      </c>
      <c r="T11">
        <v>0</v>
      </c>
      <c r="U11">
        <v>0</v>
      </c>
      <c r="V11" s="9">
        <f t="shared" si="0"/>
        <v>43.6616</v>
      </c>
      <c r="W11" s="9">
        <f t="shared" si="1"/>
        <v>781.52109999999993</v>
      </c>
      <c r="X11">
        <v>44</v>
      </c>
      <c r="Y11">
        <v>88</v>
      </c>
      <c r="Z11">
        <v>5.2671999999999997E-2</v>
      </c>
      <c r="AA11">
        <v>43.661499999999997</v>
      </c>
      <c r="AB11">
        <v>781.52099999999996</v>
      </c>
      <c r="AC11">
        <f t="shared" ca="1" si="2"/>
        <v>4.4762949273975098E-6</v>
      </c>
      <c r="AD11" s="10">
        <f t="shared" si="3"/>
        <v>1E-4</v>
      </c>
    </row>
    <row r="12" spans="1:33" x14ac:dyDescent="0.3">
      <c r="A12" t="s">
        <v>14</v>
      </c>
      <c r="B12" t="s">
        <v>141</v>
      </c>
      <c r="C12">
        <v>1</v>
      </c>
      <c r="D12">
        <v>1</v>
      </c>
      <c r="E12">
        <v>80</v>
      </c>
      <c r="F12">
        <v>0</v>
      </c>
      <c r="G12">
        <v>25</v>
      </c>
      <c r="H12">
        <v>100</v>
      </c>
      <c r="I12">
        <v>0</v>
      </c>
      <c r="J12">
        <v>60</v>
      </c>
      <c r="K12">
        <v>1.0249999999999999</v>
      </c>
      <c r="L12">
        <v>0</v>
      </c>
      <c r="M12">
        <v>0</v>
      </c>
      <c r="N12">
        <v>1</v>
      </c>
      <c r="O12">
        <v>1</v>
      </c>
      <c r="P12" t="s">
        <v>164</v>
      </c>
      <c r="Q12">
        <v>0</v>
      </c>
      <c r="R12">
        <v>1E-4</v>
      </c>
      <c r="S12">
        <v>1500</v>
      </c>
      <c r="T12">
        <v>0</v>
      </c>
      <c r="U12">
        <v>0</v>
      </c>
      <c r="V12" s="9">
        <f t="shared" si="0"/>
        <v>43.661610000000003</v>
      </c>
      <c r="W12" s="9">
        <f t="shared" si="1"/>
        <v>781.52110999999991</v>
      </c>
      <c r="X12">
        <v>44</v>
      </c>
      <c r="Y12">
        <v>88</v>
      </c>
      <c r="Z12">
        <v>5.2671999999999997E-2</v>
      </c>
      <c r="AA12">
        <v>43.661499999999997</v>
      </c>
      <c r="AB12">
        <v>781.52099999999996</v>
      </c>
      <c r="AC12">
        <f t="shared" ca="1" si="2"/>
        <v>4.6554118892214997E-6</v>
      </c>
      <c r="AD12" s="10">
        <f t="shared" si="3"/>
        <v>1.1E-4</v>
      </c>
    </row>
    <row r="13" spans="1:33" x14ac:dyDescent="0.3">
      <c r="A13" t="s">
        <v>19</v>
      </c>
      <c r="B13" t="s">
        <v>142</v>
      </c>
      <c r="C13">
        <v>1</v>
      </c>
      <c r="D13">
        <v>1</v>
      </c>
      <c r="E13">
        <v>95.1</v>
      </c>
      <c r="F13">
        <v>0</v>
      </c>
      <c r="G13">
        <v>69</v>
      </c>
      <c r="H13">
        <v>197</v>
      </c>
      <c r="I13">
        <v>0</v>
      </c>
      <c r="J13">
        <v>80</v>
      </c>
      <c r="K13">
        <v>1.02</v>
      </c>
      <c r="L13">
        <v>0</v>
      </c>
      <c r="M13">
        <v>0</v>
      </c>
      <c r="N13">
        <v>1</v>
      </c>
      <c r="O13">
        <v>1</v>
      </c>
      <c r="P13" t="s">
        <v>164</v>
      </c>
      <c r="Q13">
        <v>0</v>
      </c>
      <c r="R13">
        <v>1E-4</v>
      </c>
      <c r="S13">
        <v>1500</v>
      </c>
      <c r="T13">
        <v>0</v>
      </c>
      <c r="U13">
        <v>0</v>
      </c>
      <c r="V13" s="9">
        <f t="shared" si="0"/>
        <v>48.58052</v>
      </c>
      <c r="W13" s="9">
        <f t="shared" si="1"/>
        <v>832.75762000000009</v>
      </c>
      <c r="X13">
        <v>44</v>
      </c>
      <c r="Y13">
        <v>88</v>
      </c>
      <c r="Z13">
        <v>7.1700000000000002E-3</v>
      </c>
      <c r="AA13">
        <v>48.580399999999997</v>
      </c>
      <c r="AB13">
        <v>832.75750000000005</v>
      </c>
      <c r="AC13">
        <f t="shared" ca="1" si="2"/>
        <v>-4.9545414557076688E-6</v>
      </c>
      <c r="AD13" s="10">
        <f t="shared" si="3"/>
        <v>1.2000000000000002E-4</v>
      </c>
    </row>
    <row r="14" spans="1:33" x14ac:dyDescent="0.3">
      <c r="A14" t="s">
        <v>19</v>
      </c>
      <c r="B14" t="s">
        <v>143</v>
      </c>
      <c r="C14">
        <v>1</v>
      </c>
      <c r="D14">
        <v>1</v>
      </c>
      <c r="E14">
        <v>95.1</v>
      </c>
      <c r="F14">
        <v>0</v>
      </c>
      <c r="G14">
        <v>69</v>
      </c>
      <c r="H14">
        <v>197</v>
      </c>
      <c r="I14">
        <v>0</v>
      </c>
      <c r="J14">
        <v>80</v>
      </c>
      <c r="K14">
        <v>1.02</v>
      </c>
      <c r="L14">
        <v>0</v>
      </c>
      <c r="M14">
        <v>0</v>
      </c>
      <c r="N14">
        <v>1</v>
      </c>
      <c r="O14">
        <v>1</v>
      </c>
      <c r="P14" t="s">
        <v>164</v>
      </c>
      <c r="Q14">
        <v>0</v>
      </c>
      <c r="R14">
        <v>1E-4</v>
      </c>
      <c r="S14">
        <v>1500</v>
      </c>
      <c r="T14">
        <v>0</v>
      </c>
      <c r="U14">
        <v>0</v>
      </c>
      <c r="V14" s="9">
        <f t="shared" si="0"/>
        <v>48.580530000000003</v>
      </c>
      <c r="W14" s="9">
        <f t="shared" si="1"/>
        <v>832.75763000000006</v>
      </c>
      <c r="X14">
        <v>44</v>
      </c>
      <c r="Y14">
        <v>88</v>
      </c>
      <c r="Z14">
        <v>7.1700000000000002E-3</v>
      </c>
      <c r="AA14">
        <v>48.580399999999997</v>
      </c>
      <c r="AB14">
        <v>832.75750000000005</v>
      </c>
      <c r="AC14">
        <f t="shared" ca="1" si="2"/>
        <v>-4.604813660165702E-6</v>
      </c>
      <c r="AD14" s="10">
        <f t="shared" si="3"/>
        <v>1.3000000000000002E-4</v>
      </c>
    </row>
    <row r="15" spans="1:33" x14ac:dyDescent="0.3">
      <c r="A15" t="s">
        <v>19</v>
      </c>
      <c r="B15" t="s">
        <v>144</v>
      </c>
      <c r="C15">
        <v>1</v>
      </c>
      <c r="D15">
        <v>1</v>
      </c>
      <c r="E15">
        <v>95.1</v>
      </c>
      <c r="F15">
        <v>0</v>
      </c>
      <c r="G15">
        <v>69</v>
      </c>
      <c r="H15">
        <v>197</v>
      </c>
      <c r="I15">
        <v>0</v>
      </c>
      <c r="J15">
        <v>80</v>
      </c>
      <c r="K15">
        <v>1.02</v>
      </c>
      <c r="L15">
        <v>0</v>
      </c>
      <c r="M15">
        <v>0</v>
      </c>
      <c r="N15">
        <v>1</v>
      </c>
      <c r="O15">
        <v>1</v>
      </c>
      <c r="P15" t="s">
        <v>164</v>
      </c>
      <c r="Q15">
        <v>0</v>
      </c>
      <c r="R15">
        <v>1E-4</v>
      </c>
      <c r="S15">
        <v>1500</v>
      </c>
      <c r="T15">
        <v>0</v>
      </c>
      <c r="U15">
        <v>0</v>
      </c>
      <c r="V15" s="9">
        <f t="shared" si="0"/>
        <v>48.580539999999999</v>
      </c>
      <c r="W15" s="9">
        <f t="shared" si="1"/>
        <v>832.75764000000004</v>
      </c>
      <c r="X15">
        <v>44</v>
      </c>
      <c r="Y15">
        <v>88</v>
      </c>
      <c r="Z15">
        <v>7.1700000000000002E-3</v>
      </c>
      <c r="AA15">
        <v>48.580399999999997</v>
      </c>
      <c r="AB15">
        <v>832.75750000000005</v>
      </c>
      <c r="AC15">
        <f t="shared" ca="1" si="2"/>
        <v>1.8947625058251951E-6</v>
      </c>
      <c r="AD15" s="10">
        <f t="shared" si="3"/>
        <v>1.4000000000000001E-4</v>
      </c>
    </row>
    <row r="16" spans="1:33" x14ac:dyDescent="0.3">
      <c r="A16" t="s">
        <v>20</v>
      </c>
      <c r="B16" t="s">
        <v>145</v>
      </c>
      <c r="C16">
        <v>1</v>
      </c>
      <c r="D16">
        <v>1</v>
      </c>
      <c r="E16">
        <v>0</v>
      </c>
      <c r="F16">
        <v>35.299999999999997</v>
      </c>
      <c r="G16">
        <v>0</v>
      </c>
      <c r="H16">
        <v>0</v>
      </c>
      <c r="I16">
        <v>-50</v>
      </c>
      <c r="J16">
        <v>200</v>
      </c>
      <c r="K16">
        <v>0.98</v>
      </c>
      <c r="L16">
        <v>0</v>
      </c>
      <c r="M16">
        <v>0</v>
      </c>
      <c r="N16">
        <v>1</v>
      </c>
      <c r="O16">
        <v>1</v>
      </c>
      <c r="P16" t="s">
        <v>164</v>
      </c>
      <c r="Q16">
        <v>0</v>
      </c>
      <c r="R16">
        <v>1E-4</v>
      </c>
      <c r="S16">
        <v>1500</v>
      </c>
      <c r="T16">
        <v>0</v>
      </c>
      <c r="U16">
        <v>0</v>
      </c>
      <c r="V16" s="9">
        <f t="shared" si="0"/>
        <v>0</v>
      </c>
      <c r="W16" s="9">
        <f t="shared" si="1"/>
        <v>0</v>
      </c>
      <c r="X16">
        <v>44</v>
      </c>
      <c r="Y16">
        <v>88</v>
      </c>
      <c r="AD16" s="10"/>
    </row>
    <row r="17" spans="1:30" x14ac:dyDescent="0.3">
      <c r="A17" t="s">
        <v>21</v>
      </c>
      <c r="B17" t="s">
        <v>146</v>
      </c>
      <c r="C17">
        <v>1</v>
      </c>
      <c r="D17">
        <v>1</v>
      </c>
      <c r="E17">
        <v>12</v>
      </c>
      <c r="F17">
        <v>0</v>
      </c>
      <c r="G17">
        <v>2.4</v>
      </c>
      <c r="H17">
        <v>12</v>
      </c>
      <c r="I17">
        <v>0</v>
      </c>
      <c r="J17">
        <v>6</v>
      </c>
      <c r="K17">
        <v>1.014</v>
      </c>
      <c r="L17">
        <v>0</v>
      </c>
      <c r="M17">
        <v>0</v>
      </c>
      <c r="N17">
        <v>1</v>
      </c>
      <c r="O17">
        <v>1</v>
      </c>
      <c r="P17" t="s">
        <v>164</v>
      </c>
      <c r="Q17">
        <v>0</v>
      </c>
      <c r="R17">
        <v>1E-4</v>
      </c>
      <c r="S17">
        <v>1500</v>
      </c>
      <c r="T17">
        <v>0</v>
      </c>
      <c r="U17">
        <v>0</v>
      </c>
      <c r="V17" s="9">
        <f t="shared" si="0"/>
        <v>56.564160000000001</v>
      </c>
      <c r="W17" s="9">
        <f t="shared" si="1"/>
        <v>86.385359999999991</v>
      </c>
      <c r="X17">
        <v>44</v>
      </c>
      <c r="Y17">
        <v>88</v>
      </c>
      <c r="Z17">
        <v>0.32841199999999998</v>
      </c>
      <c r="AA17">
        <v>56.564</v>
      </c>
      <c r="AB17">
        <v>86.385199999999998</v>
      </c>
      <c r="AC17">
        <f t="shared" ca="1" si="2"/>
        <v>-2.3658036463160646E-6</v>
      </c>
      <c r="AD17" s="10">
        <f t="shared" si="3"/>
        <v>1.6000000000000001E-4</v>
      </c>
    </row>
    <row r="18" spans="1:30" x14ac:dyDescent="0.3">
      <c r="A18" t="s">
        <v>21</v>
      </c>
      <c r="B18" t="s">
        <v>147</v>
      </c>
      <c r="C18">
        <v>1</v>
      </c>
      <c r="D18">
        <v>1</v>
      </c>
      <c r="E18">
        <v>12</v>
      </c>
      <c r="F18">
        <v>0</v>
      </c>
      <c r="G18">
        <v>2.4</v>
      </c>
      <c r="H18">
        <v>12</v>
      </c>
      <c r="I18">
        <v>0</v>
      </c>
      <c r="J18">
        <v>6</v>
      </c>
      <c r="K18">
        <v>1.014</v>
      </c>
      <c r="L18">
        <v>0</v>
      </c>
      <c r="M18">
        <v>0</v>
      </c>
      <c r="N18">
        <v>1</v>
      </c>
      <c r="O18">
        <v>1</v>
      </c>
      <c r="P18" t="s">
        <v>164</v>
      </c>
      <c r="Q18">
        <v>0</v>
      </c>
      <c r="R18">
        <v>1E-4</v>
      </c>
      <c r="S18">
        <v>1500</v>
      </c>
      <c r="T18">
        <v>0</v>
      </c>
      <c r="U18">
        <v>0</v>
      </c>
      <c r="V18" s="9">
        <f t="shared" si="0"/>
        <v>56.564169999999997</v>
      </c>
      <c r="W18" s="9">
        <f t="shared" si="1"/>
        <v>86.385369999999995</v>
      </c>
      <c r="X18">
        <v>44</v>
      </c>
      <c r="Y18">
        <v>88</v>
      </c>
      <c r="Z18">
        <v>0.32841199999999998</v>
      </c>
      <c r="AA18">
        <v>56.564</v>
      </c>
      <c r="AB18">
        <v>86.385199999999998</v>
      </c>
      <c r="AC18">
        <f t="shared" ca="1" si="2"/>
        <v>-2.7686655099548683E-6</v>
      </c>
      <c r="AD18" s="10">
        <f t="shared" si="3"/>
        <v>1.7000000000000001E-4</v>
      </c>
    </row>
    <row r="19" spans="1:30" x14ac:dyDescent="0.3">
      <c r="A19" t="s">
        <v>21</v>
      </c>
      <c r="B19" t="s">
        <v>148</v>
      </c>
      <c r="C19">
        <v>1</v>
      </c>
      <c r="D19">
        <v>1</v>
      </c>
      <c r="E19">
        <v>12</v>
      </c>
      <c r="F19">
        <v>0</v>
      </c>
      <c r="G19">
        <v>2.4</v>
      </c>
      <c r="H19">
        <v>12</v>
      </c>
      <c r="I19">
        <v>0</v>
      </c>
      <c r="J19">
        <v>6</v>
      </c>
      <c r="K19">
        <v>1.014</v>
      </c>
      <c r="L19">
        <v>0</v>
      </c>
      <c r="M19">
        <v>0</v>
      </c>
      <c r="N19">
        <v>1</v>
      </c>
      <c r="O19">
        <v>1</v>
      </c>
      <c r="P19" t="s">
        <v>164</v>
      </c>
      <c r="Q19">
        <v>0</v>
      </c>
      <c r="R19">
        <v>1E-4</v>
      </c>
      <c r="S19">
        <v>1500</v>
      </c>
      <c r="T19">
        <v>0</v>
      </c>
      <c r="U19">
        <v>0</v>
      </c>
      <c r="V19" s="9">
        <f t="shared" si="0"/>
        <v>56.56418</v>
      </c>
      <c r="W19" s="9">
        <f t="shared" si="1"/>
        <v>86.385379999999998</v>
      </c>
      <c r="X19">
        <v>44</v>
      </c>
      <c r="Y19">
        <v>88</v>
      </c>
      <c r="Z19">
        <v>0.32841199999999998</v>
      </c>
      <c r="AA19">
        <v>56.564</v>
      </c>
      <c r="AB19">
        <v>86.385199999999998</v>
      </c>
      <c r="AC19">
        <f t="shared" ca="1" si="2"/>
        <v>4.1414414985201767E-6</v>
      </c>
      <c r="AD19" s="10">
        <f t="shared" si="3"/>
        <v>1.8000000000000001E-4</v>
      </c>
    </row>
    <row r="20" spans="1:30" x14ac:dyDescent="0.3">
      <c r="A20" t="s">
        <v>21</v>
      </c>
      <c r="B20" t="s">
        <v>149</v>
      </c>
      <c r="C20">
        <v>1</v>
      </c>
      <c r="D20">
        <v>1</v>
      </c>
      <c r="E20">
        <v>12</v>
      </c>
      <c r="F20">
        <v>0</v>
      </c>
      <c r="G20">
        <v>2.4</v>
      </c>
      <c r="H20">
        <v>12</v>
      </c>
      <c r="I20">
        <v>0</v>
      </c>
      <c r="J20">
        <v>6</v>
      </c>
      <c r="K20">
        <v>1.014</v>
      </c>
      <c r="L20">
        <v>0</v>
      </c>
      <c r="M20">
        <v>0</v>
      </c>
      <c r="N20">
        <v>1</v>
      </c>
      <c r="O20">
        <v>1</v>
      </c>
      <c r="P20" t="s">
        <v>164</v>
      </c>
      <c r="Q20">
        <v>0</v>
      </c>
      <c r="R20">
        <v>1E-4</v>
      </c>
      <c r="S20">
        <v>1500</v>
      </c>
      <c r="T20">
        <v>0</v>
      </c>
      <c r="U20">
        <v>0</v>
      </c>
      <c r="V20" s="9">
        <f t="shared" si="0"/>
        <v>56.564190000000004</v>
      </c>
      <c r="W20" s="9">
        <f t="shared" si="1"/>
        <v>86.385390000000001</v>
      </c>
      <c r="X20">
        <v>44</v>
      </c>
      <c r="Y20">
        <v>88</v>
      </c>
      <c r="Z20">
        <v>0.32841199999999998</v>
      </c>
      <c r="AA20">
        <v>56.564</v>
      </c>
      <c r="AB20">
        <v>86.385199999999998</v>
      </c>
      <c r="AC20">
        <f t="shared" ca="1" si="2"/>
        <v>-2.4884412489049368E-6</v>
      </c>
      <c r="AD20" s="10">
        <f t="shared" si="3"/>
        <v>1.9000000000000001E-4</v>
      </c>
    </row>
    <row r="21" spans="1:30" x14ac:dyDescent="0.3">
      <c r="A21" t="s">
        <v>21</v>
      </c>
      <c r="B21" t="s">
        <v>150</v>
      </c>
      <c r="C21">
        <v>1</v>
      </c>
      <c r="D21">
        <v>1</v>
      </c>
      <c r="E21">
        <v>12</v>
      </c>
      <c r="F21">
        <v>0</v>
      </c>
      <c r="G21">
        <v>2.4</v>
      </c>
      <c r="H21">
        <v>12</v>
      </c>
      <c r="I21">
        <v>0</v>
      </c>
      <c r="J21">
        <v>6</v>
      </c>
      <c r="K21">
        <v>1.014</v>
      </c>
      <c r="L21">
        <v>0</v>
      </c>
      <c r="M21">
        <v>0</v>
      </c>
      <c r="N21">
        <v>1</v>
      </c>
      <c r="O21">
        <v>1</v>
      </c>
      <c r="P21" t="s">
        <v>164</v>
      </c>
      <c r="Q21">
        <v>0</v>
      </c>
      <c r="R21">
        <v>1E-4</v>
      </c>
      <c r="S21">
        <v>1500</v>
      </c>
      <c r="T21">
        <v>0</v>
      </c>
      <c r="U21">
        <v>0</v>
      </c>
      <c r="V21" s="9">
        <f t="shared" si="0"/>
        <v>56.5642</v>
      </c>
      <c r="W21" s="9">
        <f t="shared" si="1"/>
        <v>86.385400000000004</v>
      </c>
      <c r="X21">
        <v>44</v>
      </c>
      <c r="Y21">
        <v>88</v>
      </c>
      <c r="Z21">
        <v>0.32841199999999998</v>
      </c>
      <c r="AA21">
        <v>56.564</v>
      </c>
      <c r="AB21">
        <v>86.385199999999998</v>
      </c>
      <c r="AC21">
        <f t="shared" ca="1" si="2"/>
        <v>-1.1463655501436476E-6</v>
      </c>
      <c r="AD21" s="10">
        <f t="shared" si="3"/>
        <v>2.0000000000000001E-4</v>
      </c>
    </row>
    <row r="22" spans="1:30" x14ac:dyDescent="0.3">
      <c r="A22" t="s">
        <v>21</v>
      </c>
      <c r="B22" t="s">
        <v>151</v>
      </c>
      <c r="C22">
        <v>1</v>
      </c>
      <c r="D22">
        <v>1</v>
      </c>
      <c r="E22">
        <v>155</v>
      </c>
      <c r="F22">
        <v>0</v>
      </c>
      <c r="G22">
        <v>54.3</v>
      </c>
      <c r="H22">
        <v>155</v>
      </c>
      <c r="I22">
        <v>-50</v>
      </c>
      <c r="J22">
        <v>80</v>
      </c>
      <c r="K22">
        <v>1.014</v>
      </c>
      <c r="L22">
        <v>0</v>
      </c>
      <c r="M22">
        <v>0</v>
      </c>
      <c r="N22">
        <v>1</v>
      </c>
      <c r="O22">
        <v>1</v>
      </c>
      <c r="P22" t="s">
        <v>164</v>
      </c>
      <c r="Q22">
        <v>0</v>
      </c>
      <c r="R22">
        <v>1E-4</v>
      </c>
      <c r="S22">
        <v>1500</v>
      </c>
      <c r="T22">
        <v>0</v>
      </c>
      <c r="U22">
        <v>0</v>
      </c>
      <c r="V22" s="9">
        <f t="shared" si="0"/>
        <v>12.38851</v>
      </c>
      <c r="W22" s="9">
        <f t="shared" si="1"/>
        <v>382.23930999999999</v>
      </c>
      <c r="X22">
        <v>44</v>
      </c>
      <c r="Y22">
        <v>88</v>
      </c>
      <c r="Z22">
        <v>8.3420000000000005E-3</v>
      </c>
      <c r="AA22">
        <v>12.388299999999999</v>
      </c>
      <c r="AB22">
        <v>382.23910000000001</v>
      </c>
      <c r="AC22">
        <f t="shared" ca="1" si="2"/>
        <v>-3.3552748155453703E-6</v>
      </c>
      <c r="AD22" s="10">
        <f t="shared" si="3"/>
        <v>2.1000000000000001E-4</v>
      </c>
    </row>
    <row r="23" spans="1:30" x14ac:dyDescent="0.3">
      <c r="A23" t="s">
        <v>22</v>
      </c>
      <c r="B23" t="s">
        <v>152</v>
      </c>
      <c r="C23">
        <v>1</v>
      </c>
      <c r="D23">
        <v>1</v>
      </c>
      <c r="E23">
        <v>155</v>
      </c>
      <c r="F23">
        <v>0</v>
      </c>
      <c r="G23">
        <v>54.3</v>
      </c>
      <c r="H23">
        <v>155</v>
      </c>
      <c r="I23">
        <v>-50</v>
      </c>
      <c r="J23">
        <v>80</v>
      </c>
      <c r="K23">
        <v>1.0169999999999999</v>
      </c>
      <c r="L23">
        <v>0</v>
      </c>
      <c r="M23">
        <v>0</v>
      </c>
      <c r="N23">
        <v>1</v>
      </c>
      <c r="O23">
        <v>1</v>
      </c>
      <c r="P23" t="s">
        <v>164</v>
      </c>
      <c r="Q23">
        <v>0</v>
      </c>
      <c r="R23">
        <v>1E-4</v>
      </c>
      <c r="S23">
        <v>1500</v>
      </c>
      <c r="T23">
        <v>0</v>
      </c>
      <c r="U23">
        <v>0</v>
      </c>
      <c r="V23" s="9">
        <f t="shared" si="0"/>
        <v>12.38852</v>
      </c>
      <c r="W23" s="9">
        <f t="shared" si="1"/>
        <v>382.23932000000002</v>
      </c>
      <c r="X23">
        <v>44</v>
      </c>
      <c r="Y23">
        <v>88</v>
      </c>
      <c r="Z23">
        <v>8.3420000000000005E-3</v>
      </c>
      <c r="AA23">
        <v>12.388299999999999</v>
      </c>
      <c r="AB23">
        <v>382.23910000000001</v>
      </c>
      <c r="AC23">
        <f t="shared" ca="1" si="2"/>
        <v>4.274674749748344E-6</v>
      </c>
      <c r="AD23" s="10">
        <f t="shared" si="3"/>
        <v>2.2000000000000001E-4</v>
      </c>
    </row>
    <row r="24" spans="1:30" x14ac:dyDescent="0.3">
      <c r="A24" t="s">
        <v>23</v>
      </c>
      <c r="B24" t="s">
        <v>153</v>
      </c>
      <c r="C24">
        <v>1</v>
      </c>
      <c r="D24">
        <v>1</v>
      </c>
      <c r="E24">
        <v>400</v>
      </c>
      <c r="F24">
        <v>0</v>
      </c>
      <c r="G24">
        <v>100</v>
      </c>
      <c r="H24">
        <v>400</v>
      </c>
      <c r="I24">
        <v>-50</v>
      </c>
      <c r="J24">
        <v>200</v>
      </c>
      <c r="K24">
        <v>1.05</v>
      </c>
      <c r="L24">
        <v>0</v>
      </c>
      <c r="M24">
        <v>0</v>
      </c>
      <c r="N24">
        <v>1</v>
      </c>
      <c r="O24">
        <v>1</v>
      </c>
      <c r="P24" t="s">
        <v>164</v>
      </c>
      <c r="Q24">
        <v>0</v>
      </c>
      <c r="R24">
        <v>1E-4</v>
      </c>
      <c r="S24">
        <v>1500</v>
      </c>
      <c r="T24">
        <v>0</v>
      </c>
      <c r="U24">
        <v>0</v>
      </c>
      <c r="V24" s="9">
        <f t="shared" si="0"/>
        <v>4.42333</v>
      </c>
      <c r="W24" s="9">
        <f t="shared" si="1"/>
        <v>395.37513000000001</v>
      </c>
      <c r="X24">
        <v>44</v>
      </c>
      <c r="Y24">
        <v>88</v>
      </c>
      <c r="Z24">
        <v>2.13E-4</v>
      </c>
      <c r="AA24">
        <v>4.4230999999999998</v>
      </c>
      <c r="AB24">
        <v>395.37490000000003</v>
      </c>
      <c r="AC24">
        <f t="shared" ca="1" si="2"/>
        <v>-8.0083908880874694E-8</v>
      </c>
      <c r="AD24" s="10">
        <f t="shared" si="3"/>
        <v>2.3000000000000001E-4</v>
      </c>
    </row>
    <row r="25" spans="1:30" x14ac:dyDescent="0.3">
      <c r="A25" t="s">
        <v>24</v>
      </c>
      <c r="B25" t="s">
        <v>154</v>
      </c>
      <c r="C25">
        <v>1</v>
      </c>
      <c r="D25">
        <v>1</v>
      </c>
      <c r="E25">
        <v>400</v>
      </c>
      <c r="F25">
        <v>0</v>
      </c>
      <c r="G25">
        <v>100</v>
      </c>
      <c r="H25">
        <v>400</v>
      </c>
      <c r="I25">
        <v>-50</v>
      </c>
      <c r="J25">
        <v>200</v>
      </c>
      <c r="K25">
        <v>1.05</v>
      </c>
      <c r="L25">
        <v>0</v>
      </c>
      <c r="M25">
        <v>0</v>
      </c>
      <c r="N25">
        <v>1</v>
      </c>
      <c r="O25">
        <v>1</v>
      </c>
      <c r="P25" t="s">
        <v>164</v>
      </c>
      <c r="Q25">
        <v>0</v>
      </c>
      <c r="R25">
        <v>1E-4</v>
      </c>
      <c r="S25">
        <v>1500</v>
      </c>
      <c r="T25">
        <v>0</v>
      </c>
      <c r="U25">
        <v>0</v>
      </c>
      <c r="V25" s="9">
        <f t="shared" si="0"/>
        <v>4.4233399999999996</v>
      </c>
      <c r="W25" s="9">
        <f t="shared" si="1"/>
        <v>395.37514000000004</v>
      </c>
      <c r="X25">
        <v>44</v>
      </c>
      <c r="Y25">
        <v>88</v>
      </c>
      <c r="Z25">
        <v>2.13E-4</v>
      </c>
      <c r="AA25">
        <v>4.4230999999999998</v>
      </c>
      <c r="AB25">
        <v>395.37490000000003</v>
      </c>
      <c r="AC25">
        <f t="shared" ca="1" si="2"/>
        <v>-2.8463292629541884E-6</v>
      </c>
      <c r="AD25" s="10">
        <f t="shared" si="3"/>
        <v>2.4000000000000003E-4</v>
      </c>
    </row>
    <row r="26" spans="1:30" x14ac:dyDescent="0.3">
      <c r="A26" t="s">
        <v>25</v>
      </c>
      <c r="B26" t="s">
        <v>155</v>
      </c>
      <c r="C26">
        <v>1</v>
      </c>
      <c r="D26">
        <v>1</v>
      </c>
      <c r="E26">
        <v>50</v>
      </c>
      <c r="F26">
        <v>0</v>
      </c>
      <c r="G26">
        <v>10</v>
      </c>
      <c r="H26">
        <v>50</v>
      </c>
      <c r="I26">
        <v>-10</v>
      </c>
      <c r="J26">
        <v>16</v>
      </c>
      <c r="K26">
        <v>1.05</v>
      </c>
      <c r="L26">
        <v>0</v>
      </c>
      <c r="M26">
        <v>0</v>
      </c>
      <c r="N26">
        <v>1</v>
      </c>
      <c r="O26">
        <v>1</v>
      </c>
      <c r="P26" t="s">
        <v>164</v>
      </c>
      <c r="Q26">
        <v>0</v>
      </c>
      <c r="R26">
        <v>1E-4</v>
      </c>
      <c r="S26">
        <v>1500</v>
      </c>
      <c r="T26">
        <v>0</v>
      </c>
      <c r="U26">
        <v>0</v>
      </c>
      <c r="V26" s="9">
        <f t="shared" si="0"/>
        <v>1.25E-3</v>
      </c>
      <c r="W26" s="9">
        <f t="shared" si="1"/>
        <v>1.25E-3</v>
      </c>
      <c r="X26">
        <v>44</v>
      </c>
      <c r="Y26">
        <v>88</v>
      </c>
      <c r="Z26">
        <v>0</v>
      </c>
      <c r="AA26">
        <v>1E-3</v>
      </c>
      <c r="AB26">
        <v>1E-3</v>
      </c>
      <c r="AC26">
        <f t="shared" ca="1" si="2"/>
        <v>2.8628711963031661E-6</v>
      </c>
      <c r="AD26" s="10">
        <f t="shared" si="3"/>
        <v>2.5000000000000001E-4</v>
      </c>
    </row>
    <row r="27" spans="1:30" x14ac:dyDescent="0.3">
      <c r="A27" t="s">
        <v>25</v>
      </c>
      <c r="B27" t="s">
        <v>156</v>
      </c>
      <c r="C27">
        <v>1</v>
      </c>
      <c r="D27">
        <v>1</v>
      </c>
      <c r="E27">
        <v>50</v>
      </c>
      <c r="F27">
        <v>0</v>
      </c>
      <c r="G27">
        <v>10</v>
      </c>
      <c r="H27">
        <v>50</v>
      </c>
      <c r="I27">
        <v>-10</v>
      </c>
      <c r="J27">
        <v>16</v>
      </c>
      <c r="K27">
        <v>1.05</v>
      </c>
      <c r="L27">
        <v>0</v>
      </c>
      <c r="M27">
        <v>0</v>
      </c>
      <c r="N27">
        <v>1</v>
      </c>
      <c r="O27">
        <v>1</v>
      </c>
      <c r="P27" t="s">
        <v>164</v>
      </c>
      <c r="Q27">
        <v>0</v>
      </c>
      <c r="R27">
        <v>1E-4</v>
      </c>
      <c r="S27">
        <v>1500</v>
      </c>
      <c r="T27">
        <v>0</v>
      </c>
      <c r="U27">
        <v>0</v>
      </c>
      <c r="V27" s="9">
        <f t="shared" si="0"/>
        <v>1.2600000000000001E-3</v>
      </c>
      <c r="W27" s="9">
        <f t="shared" si="1"/>
        <v>1.2600000000000001E-3</v>
      </c>
      <c r="X27">
        <v>44</v>
      </c>
      <c r="Y27">
        <v>88</v>
      </c>
      <c r="Z27">
        <v>0</v>
      </c>
      <c r="AA27">
        <v>1E-3</v>
      </c>
      <c r="AB27">
        <v>1E-3</v>
      </c>
      <c r="AC27">
        <f t="shared" ca="1" si="2"/>
        <v>3.4708651562634606E-6</v>
      </c>
      <c r="AD27" s="10">
        <f t="shared" si="3"/>
        <v>2.6000000000000003E-4</v>
      </c>
    </row>
    <row r="28" spans="1:30" x14ac:dyDescent="0.3">
      <c r="A28" t="s">
        <v>25</v>
      </c>
      <c r="B28" t="s">
        <v>157</v>
      </c>
      <c r="C28">
        <v>1</v>
      </c>
      <c r="D28">
        <v>1</v>
      </c>
      <c r="E28">
        <v>50</v>
      </c>
      <c r="F28">
        <v>0</v>
      </c>
      <c r="G28">
        <v>10</v>
      </c>
      <c r="H28">
        <v>50</v>
      </c>
      <c r="I28">
        <v>-10</v>
      </c>
      <c r="J28">
        <v>16</v>
      </c>
      <c r="K28">
        <v>1.05</v>
      </c>
      <c r="L28">
        <v>0</v>
      </c>
      <c r="M28">
        <v>0</v>
      </c>
      <c r="N28">
        <v>1</v>
      </c>
      <c r="O28">
        <v>1</v>
      </c>
      <c r="P28" t="s">
        <v>164</v>
      </c>
      <c r="Q28">
        <v>0</v>
      </c>
      <c r="R28">
        <v>1E-4</v>
      </c>
      <c r="S28">
        <v>1500</v>
      </c>
      <c r="T28">
        <v>0</v>
      </c>
      <c r="U28">
        <v>0</v>
      </c>
      <c r="V28" s="9">
        <f t="shared" si="0"/>
        <v>1.2700000000000001E-3</v>
      </c>
      <c r="W28" s="9">
        <f t="shared" si="1"/>
        <v>1.2700000000000001E-3</v>
      </c>
      <c r="X28">
        <v>44</v>
      </c>
      <c r="Y28">
        <v>88</v>
      </c>
      <c r="Z28">
        <v>0</v>
      </c>
      <c r="AA28">
        <v>1E-3</v>
      </c>
      <c r="AB28">
        <v>1E-3</v>
      </c>
      <c r="AC28">
        <f t="shared" ca="1" si="2"/>
        <v>8.7095902707602039E-7</v>
      </c>
      <c r="AD28" s="10">
        <f t="shared" si="3"/>
        <v>2.7E-4</v>
      </c>
    </row>
    <row r="29" spans="1:30" x14ac:dyDescent="0.3">
      <c r="A29" t="s">
        <v>25</v>
      </c>
      <c r="B29" t="s">
        <v>158</v>
      </c>
      <c r="C29">
        <v>1</v>
      </c>
      <c r="D29">
        <v>1</v>
      </c>
      <c r="E29">
        <v>50</v>
      </c>
      <c r="F29">
        <v>0</v>
      </c>
      <c r="G29">
        <v>10</v>
      </c>
      <c r="H29">
        <v>50</v>
      </c>
      <c r="I29">
        <v>-10</v>
      </c>
      <c r="J29">
        <v>16</v>
      </c>
      <c r="K29">
        <v>1.05</v>
      </c>
      <c r="L29">
        <v>0</v>
      </c>
      <c r="M29">
        <v>0</v>
      </c>
      <c r="N29">
        <v>1</v>
      </c>
      <c r="O29">
        <v>1</v>
      </c>
      <c r="P29" t="s">
        <v>164</v>
      </c>
      <c r="Q29">
        <v>0</v>
      </c>
      <c r="R29">
        <v>1E-4</v>
      </c>
      <c r="S29">
        <v>1500</v>
      </c>
      <c r="T29">
        <v>0</v>
      </c>
      <c r="U29">
        <v>0</v>
      </c>
      <c r="V29" s="9">
        <f t="shared" si="0"/>
        <v>1.2800000000000001E-3</v>
      </c>
      <c r="W29" s="9">
        <f t="shared" si="1"/>
        <v>1.2800000000000001E-3</v>
      </c>
      <c r="X29">
        <v>44</v>
      </c>
      <c r="Y29">
        <v>88</v>
      </c>
      <c r="Z29">
        <v>0</v>
      </c>
      <c r="AA29">
        <v>1E-3</v>
      </c>
      <c r="AB29">
        <v>1E-3</v>
      </c>
      <c r="AC29">
        <f t="shared" ca="1" si="2"/>
        <v>7.1134708115011221E-7</v>
      </c>
      <c r="AD29" s="10">
        <f t="shared" si="3"/>
        <v>2.8000000000000003E-4</v>
      </c>
    </row>
    <row r="30" spans="1:30" x14ac:dyDescent="0.3">
      <c r="A30" t="s">
        <v>25</v>
      </c>
      <c r="B30" t="s">
        <v>159</v>
      </c>
      <c r="C30">
        <v>1</v>
      </c>
      <c r="D30">
        <v>1</v>
      </c>
      <c r="E30">
        <v>50</v>
      </c>
      <c r="F30">
        <v>0</v>
      </c>
      <c r="G30">
        <v>10</v>
      </c>
      <c r="H30">
        <v>50</v>
      </c>
      <c r="I30">
        <v>-10</v>
      </c>
      <c r="J30">
        <v>16</v>
      </c>
      <c r="K30">
        <v>1.05</v>
      </c>
      <c r="L30">
        <v>0</v>
      </c>
      <c r="M30">
        <v>0</v>
      </c>
      <c r="N30">
        <v>1</v>
      </c>
      <c r="O30">
        <v>1</v>
      </c>
      <c r="P30" t="s">
        <v>164</v>
      </c>
      <c r="Q30">
        <v>0</v>
      </c>
      <c r="R30">
        <v>1E-4</v>
      </c>
      <c r="S30">
        <v>1500</v>
      </c>
      <c r="T30">
        <v>0</v>
      </c>
      <c r="U30">
        <v>0</v>
      </c>
      <c r="V30" s="9">
        <f t="shared" si="0"/>
        <v>1.2899999999999999E-3</v>
      </c>
      <c r="W30" s="9">
        <f t="shared" si="1"/>
        <v>1.2899999999999999E-3</v>
      </c>
      <c r="X30">
        <v>44</v>
      </c>
      <c r="Y30">
        <v>88</v>
      </c>
      <c r="Z30">
        <v>0</v>
      </c>
      <c r="AA30">
        <v>1E-3</v>
      </c>
      <c r="AB30">
        <v>1E-3</v>
      </c>
      <c r="AC30">
        <f t="shared" ca="1" si="2"/>
        <v>-2.7771852626811534E-6</v>
      </c>
      <c r="AD30" s="10">
        <f t="shared" si="3"/>
        <v>2.9E-4</v>
      </c>
    </row>
    <row r="31" spans="1:30" x14ac:dyDescent="0.3">
      <c r="A31" t="s">
        <v>25</v>
      </c>
      <c r="B31" t="s">
        <v>160</v>
      </c>
      <c r="C31">
        <v>1</v>
      </c>
      <c r="D31">
        <v>1</v>
      </c>
      <c r="E31">
        <v>50</v>
      </c>
      <c r="F31">
        <v>0</v>
      </c>
      <c r="G31">
        <v>10</v>
      </c>
      <c r="H31">
        <v>50</v>
      </c>
      <c r="I31">
        <v>-10</v>
      </c>
      <c r="J31">
        <v>16</v>
      </c>
      <c r="K31">
        <v>1.05</v>
      </c>
      <c r="L31">
        <v>0</v>
      </c>
      <c r="M31">
        <v>0</v>
      </c>
      <c r="N31">
        <v>1</v>
      </c>
      <c r="O31">
        <v>1</v>
      </c>
      <c r="P31" t="s">
        <v>164</v>
      </c>
      <c r="Q31">
        <v>0</v>
      </c>
      <c r="R31">
        <v>1E-4</v>
      </c>
      <c r="S31">
        <v>1500</v>
      </c>
      <c r="T31">
        <v>0</v>
      </c>
      <c r="U31">
        <v>0</v>
      </c>
      <c r="V31" s="9">
        <f t="shared" si="0"/>
        <v>1.2999999999999999E-3</v>
      </c>
      <c r="W31" s="9">
        <f t="shared" si="1"/>
        <v>1.2999999999999999E-3</v>
      </c>
      <c r="X31">
        <v>44</v>
      </c>
      <c r="Y31">
        <v>88</v>
      </c>
      <c r="Z31">
        <v>0</v>
      </c>
      <c r="AA31">
        <v>1E-3</v>
      </c>
      <c r="AB31">
        <v>1E-3</v>
      </c>
      <c r="AC31">
        <f t="shared" ca="1" si="2"/>
        <v>-1.8083685456335953E-6</v>
      </c>
      <c r="AD31" s="10">
        <f t="shared" si="3"/>
        <v>3.0000000000000003E-4</v>
      </c>
    </row>
    <row r="32" spans="1:30" x14ac:dyDescent="0.3">
      <c r="A32" t="s">
        <v>26</v>
      </c>
      <c r="B32" t="s">
        <v>161</v>
      </c>
      <c r="C32">
        <v>1</v>
      </c>
      <c r="D32">
        <v>1</v>
      </c>
      <c r="E32">
        <v>155</v>
      </c>
      <c r="F32">
        <v>0</v>
      </c>
      <c r="G32">
        <v>54.3</v>
      </c>
      <c r="H32">
        <v>155</v>
      </c>
      <c r="I32">
        <v>-50</v>
      </c>
      <c r="J32">
        <v>80</v>
      </c>
      <c r="K32">
        <v>1.05</v>
      </c>
      <c r="L32">
        <v>0</v>
      </c>
      <c r="M32">
        <v>0</v>
      </c>
      <c r="N32">
        <v>1</v>
      </c>
      <c r="O32">
        <v>1</v>
      </c>
      <c r="P32" t="s">
        <v>164</v>
      </c>
      <c r="Q32">
        <v>0</v>
      </c>
      <c r="R32">
        <v>1E-4</v>
      </c>
      <c r="S32">
        <v>1500</v>
      </c>
      <c r="T32">
        <v>0</v>
      </c>
      <c r="U32">
        <v>0</v>
      </c>
      <c r="V32" s="9">
        <f t="shared" si="0"/>
        <v>12.38861</v>
      </c>
      <c r="W32" s="9">
        <f t="shared" si="1"/>
        <v>382.23941000000002</v>
      </c>
      <c r="X32">
        <v>44</v>
      </c>
      <c r="Y32">
        <v>88</v>
      </c>
      <c r="Z32">
        <v>8.3420000000000005E-3</v>
      </c>
      <c r="AA32">
        <v>12.388299999999999</v>
      </c>
      <c r="AB32">
        <v>382.23910000000001</v>
      </c>
      <c r="AC32">
        <f t="shared" ca="1" si="2"/>
        <v>-1.3989562757325659E-6</v>
      </c>
      <c r="AD32" s="10">
        <f t="shared" si="3"/>
        <v>3.1E-4</v>
      </c>
    </row>
    <row r="33" spans="1:30" x14ac:dyDescent="0.3">
      <c r="A33" t="s">
        <v>26</v>
      </c>
      <c r="B33" t="s">
        <v>162</v>
      </c>
      <c r="C33">
        <v>1</v>
      </c>
      <c r="D33">
        <v>1</v>
      </c>
      <c r="E33">
        <v>155</v>
      </c>
      <c r="F33">
        <v>0</v>
      </c>
      <c r="G33">
        <v>54.3</v>
      </c>
      <c r="H33">
        <v>155</v>
      </c>
      <c r="I33">
        <v>-50</v>
      </c>
      <c r="J33">
        <v>80</v>
      </c>
      <c r="K33">
        <v>1.05</v>
      </c>
      <c r="L33">
        <v>0</v>
      </c>
      <c r="M33">
        <v>0</v>
      </c>
      <c r="N33">
        <v>1</v>
      </c>
      <c r="O33">
        <v>1</v>
      </c>
      <c r="P33" t="s">
        <v>164</v>
      </c>
      <c r="Q33">
        <v>0</v>
      </c>
      <c r="R33">
        <v>1E-4</v>
      </c>
      <c r="S33">
        <v>1500</v>
      </c>
      <c r="T33">
        <v>0</v>
      </c>
      <c r="U33">
        <v>0</v>
      </c>
      <c r="V33" s="9">
        <f t="shared" si="0"/>
        <v>12.38862</v>
      </c>
      <c r="W33" s="9">
        <f t="shared" si="1"/>
        <v>382.23942</v>
      </c>
      <c r="X33">
        <v>44</v>
      </c>
      <c r="Y33">
        <v>88</v>
      </c>
      <c r="Z33">
        <v>8.3420000000000005E-3</v>
      </c>
      <c r="AA33">
        <v>12.388299999999999</v>
      </c>
      <c r="AB33">
        <v>382.23910000000001</v>
      </c>
      <c r="AC33">
        <f t="shared" ca="1" si="2"/>
        <v>-1.2700804714168958E-6</v>
      </c>
      <c r="AD33" s="10">
        <f t="shared" si="3"/>
        <v>3.2000000000000003E-4</v>
      </c>
    </row>
    <row r="34" spans="1:30" x14ac:dyDescent="0.3">
      <c r="A34" t="s">
        <v>26</v>
      </c>
      <c r="B34" t="s">
        <v>163</v>
      </c>
      <c r="C34">
        <v>1</v>
      </c>
      <c r="D34">
        <v>1</v>
      </c>
      <c r="E34">
        <v>350</v>
      </c>
      <c r="F34">
        <v>0</v>
      </c>
      <c r="G34">
        <v>140</v>
      </c>
      <c r="H34">
        <v>350</v>
      </c>
      <c r="I34">
        <v>-25</v>
      </c>
      <c r="J34">
        <v>150</v>
      </c>
      <c r="K34">
        <v>1.05</v>
      </c>
      <c r="L34">
        <v>0</v>
      </c>
      <c r="M34">
        <v>0</v>
      </c>
      <c r="N34">
        <v>1</v>
      </c>
      <c r="O34">
        <v>1</v>
      </c>
      <c r="P34" t="s">
        <v>164</v>
      </c>
      <c r="Q34">
        <v>0</v>
      </c>
      <c r="R34">
        <v>1E-4</v>
      </c>
      <c r="S34">
        <v>1500</v>
      </c>
      <c r="T34">
        <v>0</v>
      </c>
      <c r="U34">
        <v>0</v>
      </c>
      <c r="V34" s="9">
        <f t="shared" si="0"/>
        <v>11.849830000000001</v>
      </c>
      <c r="W34" s="9">
        <f t="shared" si="1"/>
        <v>665.10973000000001</v>
      </c>
      <c r="X34">
        <v>44</v>
      </c>
      <c r="Y34">
        <v>88</v>
      </c>
      <c r="Z34">
        <v>4.895E-3</v>
      </c>
      <c r="AA34">
        <v>11.849500000000001</v>
      </c>
      <c r="AB34">
        <v>665.10940000000005</v>
      </c>
      <c r="AC34">
        <f t="shared" ca="1" si="2"/>
        <v>1.1837184829261915E-6</v>
      </c>
      <c r="AD34" s="10">
        <f t="shared" si="3"/>
        <v>3.3000000000000005E-4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3.5" x14ac:dyDescent="0.3"/>
  <sheetData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3.5" x14ac:dyDescent="0.3"/>
  <sheetData>
    <row r="1" spans="1:1" x14ac:dyDescent="0.3">
      <c r="A1" s="1" t="s">
        <v>165</v>
      </c>
    </row>
    <row r="2" spans="1:1" x14ac:dyDescent="0.3">
      <c r="A2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renewable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Runsheng He</cp:lastModifiedBy>
  <dcterms:created xsi:type="dcterms:W3CDTF">2026-02-19T15:11:35Z</dcterms:created>
  <dcterms:modified xsi:type="dcterms:W3CDTF">2026-02-21T16:18:18Z</dcterms:modified>
</cp:coreProperties>
</file>